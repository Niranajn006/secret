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 files\"/>
    </mc:Choice>
  </mc:AlternateContent>
  <xr:revisionPtr revIDLastSave="0" documentId="10_ncr:100000_{27F162E6-AA34-4B95-B295-FF90A5F7F910}" xr6:coauthVersionLast="31" xr6:coauthVersionMax="37" xr10:uidLastSave="{00000000-0000-0000-0000-000000000000}"/>
  <bookViews>
    <workbookView xWindow="0" yWindow="0" windowWidth="17250" windowHeight="5460" activeTab="4" xr2:uid="{E08E77EE-9924-47FE-AAE7-6DCE3B0B614C}"/>
  </bookViews>
  <sheets>
    <sheet name="Main" sheetId="4" r:id="rId1"/>
    <sheet name="Cash Intraday" sheetId="6" r:id="rId2"/>
    <sheet name="DDE" sheetId="1" r:id="rId3"/>
    <sheet name="Data" sheetId="2" r:id="rId4"/>
    <sheet name="Cash Projection" sheetId="3" r:id="rId5"/>
    <sheet name="SCBRM1" sheetId="7" r:id="rId6"/>
    <sheet name="SCBSFF" sheetId="8" r:id="rId7"/>
  </sheets>
  <externalReferences>
    <externalReference r:id="rId8"/>
  </externalReferences>
  <definedNames>
    <definedName name="_xlnm._FilterDatabase" localSheetId="1" hidden="1">'Cash Intraday'!$A$1:$H$841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" i="3" l="1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C22" i="7" l="1"/>
  <c r="D22" i="7"/>
  <c r="E22" i="7"/>
  <c r="F22" i="7"/>
  <c r="G22" i="7"/>
  <c r="H22" i="7"/>
  <c r="I22" i="7"/>
  <c r="J22" i="7"/>
  <c r="B22" i="7"/>
  <c r="K14" i="6" a="1"/>
  <c r="K21" i="6" s="1"/>
  <c r="K3" i="6" a="1"/>
  <c r="K3" i="6" s="1"/>
  <c r="P21" i="6" l="1"/>
  <c r="L21" i="6"/>
  <c r="O21" i="6"/>
  <c r="N21" i="6"/>
  <c r="M21" i="6"/>
  <c r="P3" i="6"/>
  <c r="M3" i="6"/>
  <c r="L3" i="6"/>
  <c r="O3" i="6"/>
  <c r="N3" i="6"/>
  <c r="K12" i="6"/>
  <c r="K10" i="6"/>
  <c r="K5" i="6"/>
  <c r="K8" i="6"/>
  <c r="K6" i="6"/>
  <c r="K9" i="6"/>
  <c r="K4" i="6"/>
  <c r="K14" i="6"/>
  <c r="K18" i="6"/>
  <c r="K22" i="6"/>
  <c r="K11" i="6"/>
  <c r="K7" i="6"/>
  <c r="K15" i="6"/>
  <c r="K19" i="6"/>
  <c r="K23" i="6"/>
  <c r="K16" i="6"/>
  <c r="K20" i="6"/>
  <c r="K17" i="6"/>
  <c r="A2" i="7"/>
  <c r="M17" i="6" l="1"/>
  <c r="P17" i="6"/>
  <c r="L17" i="6"/>
  <c r="O17" i="6"/>
  <c r="N17" i="6"/>
  <c r="N19" i="6"/>
  <c r="O19" i="6"/>
  <c r="P19" i="6"/>
  <c r="M19" i="6"/>
  <c r="L19" i="6"/>
  <c r="O22" i="6"/>
  <c r="N22" i="6"/>
  <c r="M22" i="6"/>
  <c r="P22" i="6"/>
  <c r="L22" i="6"/>
  <c r="M14" i="6"/>
  <c r="N14" i="6"/>
  <c r="O14" i="6"/>
  <c r="L14" i="6"/>
  <c r="P14" i="6"/>
  <c r="M23" i="6"/>
  <c r="L23" i="6"/>
  <c r="N23" i="6"/>
  <c r="O23" i="6"/>
  <c r="P23" i="6"/>
  <c r="L20" i="6"/>
  <c r="N20" i="6"/>
  <c r="O20" i="6"/>
  <c r="M20" i="6"/>
  <c r="P20" i="6"/>
  <c r="L15" i="6"/>
  <c r="O15" i="6"/>
  <c r="N15" i="6"/>
  <c r="P15" i="6"/>
  <c r="M15" i="6"/>
  <c r="L18" i="6"/>
  <c r="O18" i="6"/>
  <c r="P18" i="6"/>
  <c r="N18" i="6"/>
  <c r="M18" i="6"/>
  <c r="M16" i="6"/>
  <c r="P16" i="6"/>
  <c r="O16" i="6"/>
  <c r="N16" i="6"/>
  <c r="L16" i="6"/>
  <c r="M7" i="6"/>
  <c r="P7" i="6"/>
  <c r="N7" i="6"/>
  <c r="O7" i="6"/>
  <c r="L7" i="6"/>
  <c r="O5" i="6"/>
  <c r="N5" i="6"/>
  <c r="L5" i="6"/>
  <c r="P5" i="6"/>
  <c r="M5" i="6"/>
  <c r="O9" i="6"/>
  <c r="N9" i="6"/>
  <c r="L9" i="6"/>
  <c r="P9" i="6"/>
  <c r="M9" i="6"/>
  <c r="N10" i="6"/>
  <c r="O10" i="6"/>
  <c r="L10" i="6"/>
  <c r="P10" i="6"/>
  <c r="M10" i="6"/>
  <c r="L8" i="6"/>
  <c r="P8" i="6"/>
  <c r="M8" i="6"/>
  <c r="O8" i="6"/>
  <c r="N8" i="6"/>
  <c r="M11" i="6"/>
  <c r="P11" i="6"/>
  <c r="N11" i="6"/>
  <c r="L11" i="6"/>
  <c r="O11" i="6"/>
  <c r="L4" i="6"/>
  <c r="P4" i="6"/>
  <c r="M4" i="6"/>
  <c r="N4" i="6"/>
  <c r="O4" i="6"/>
  <c r="N6" i="6"/>
  <c r="O6" i="6"/>
  <c r="M6" i="6"/>
  <c r="L6" i="6"/>
  <c r="P6" i="6"/>
  <c r="L12" i="6"/>
  <c r="P12" i="6"/>
  <c r="M12" i="6"/>
  <c r="N12" i="6"/>
  <c r="O12" i="6"/>
  <c r="Q777" i="6"/>
  <c r="B5" i="7"/>
  <c r="C5" i="7"/>
  <c r="D2" i="4"/>
  <c r="C24" i="7" l="1"/>
  <c r="B24" i="7"/>
  <c r="C30" i="7"/>
  <c r="C31" i="7"/>
  <c r="B31" i="7"/>
  <c r="B30" i="7"/>
  <c r="C17" i="7"/>
  <c r="C18" i="7"/>
  <c r="B18" i="7"/>
  <c r="B17" i="7"/>
  <c r="C16" i="7"/>
  <c r="B16" i="7"/>
  <c r="D5" i="7"/>
  <c r="E5" i="7"/>
  <c r="B9" i="7"/>
  <c r="E24" i="7" l="1"/>
  <c r="D24" i="7"/>
  <c r="E31" i="7"/>
  <c r="E30" i="7"/>
  <c r="D30" i="7"/>
  <c r="D31" i="7"/>
  <c r="E18" i="7"/>
  <c r="E17" i="7"/>
  <c r="D17" i="7"/>
  <c r="D18" i="7"/>
  <c r="D16" i="7"/>
  <c r="E16" i="7"/>
  <c r="B11" i="7"/>
  <c r="C9" i="7" s="1"/>
  <c r="F5" i="7"/>
  <c r="F24" i="7" l="1"/>
  <c r="F31" i="7"/>
  <c r="F30" i="7"/>
  <c r="F17" i="7"/>
  <c r="F18" i="7"/>
  <c r="F16" i="7"/>
  <c r="C11" i="7"/>
  <c r="D9" i="7" s="1"/>
  <c r="G5" i="7"/>
  <c r="G24" i="7" l="1"/>
  <c r="G30" i="7"/>
  <c r="G31" i="7"/>
  <c r="G17" i="7"/>
  <c r="G18" i="7"/>
  <c r="G16" i="7"/>
  <c r="D11" i="7"/>
  <c r="E9" i="7" s="1"/>
  <c r="H5" i="7"/>
  <c r="H24" i="7" l="1"/>
  <c r="H30" i="7"/>
  <c r="H31" i="7"/>
  <c r="H18" i="7"/>
  <c r="H17" i="7"/>
  <c r="H16" i="7"/>
  <c r="E11" i="7"/>
  <c r="F9" i="7" s="1"/>
  <c r="I5" i="7"/>
  <c r="I24" i="7" l="1"/>
  <c r="I31" i="7"/>
  <c r="I30" i="7"/>
  <c r="I18" i="7"/>
  <c r="I17" i="7"/>
  <c r="I16" i="7"/>
  <c r="F11" i="7"/>
  <c r="G9" i="7" s="1"/>
  <c r="J5" i="7"/>
  <c r="J24" i="7" l="1"/>
  <c r="J31" i="7"/>
  <c r="J30" i="7"/>
  <c r="J18" i="7"/>
  <c r="J17" i="7"/>
  <c r="J16" i="7"/>
  <c r="G11" i="7"/>
  <c r="H9" i="7" s="1"/>
  <c r="K5" i="7"/>
  <c r="K24" i="7" l="1"/>
  <c r="K30" i="7"/>
  <c r="K31" i="7"/>
  <c r="K17" i="7"/>
  <c r="K18" i="7"/>
  <c r="K16" i="7"/>
  <c r="H11" i="7"/>
  <c r="I9" i="7" s="1"/>
  <c r="L5" i="7"/>
  <c r="L24" i="7" l="1"/>
  <c r="L30" i="7"/>
  <c r="L31" i="7"/>
  <c r="L17" i="7"/>
  <c r="L18" i="7"/>
  <c r="L16" i="7"/>
  <c r="I11" i="7"/>
  <c r="J9" i="7" s="1"/>
  <c r="M5" i="7"/>
  <c r="J11" i="7" l="1"/>
  <c r="N5" i="7"/>
  <c r="O5" i="7" l="1"/>
  <c r="P5" i="7" l="1"/>
  <c r="Q5" i="7" l="1"/>
  <c r="R5" i="7"/>
  <c r="S5" i="7"/>
  <c r="T5" i="7"/>
  <c r="U5" i="7"/>
  <c r="V5" i="7" s="1"/>
  <c r="W5" i="7" s="1"/>
  <c r="X5" i="7" s="1"/>
  <c r="Y5" i="7" s="1"/>
  <c r="Z5" i="7" s="1"/>
  <c r="AA5" i="7" s="1"/>
</calcChain>
</file>

<file path=xl/sharedStrings.xml><?xml version="1.0" encoding="utf-8"?>
<sst xmlns="http://schemas.openxmlformats.org/spreadsheetml/2006/main" count="11982" uniqueCount="905">
  <si>
    <t>HLD_Date</t>
  </si>
  <si>
    <t>HLD_Portfolio</t>
  </si>
  <si>
    <t>Group1</t>
  </si>
  <si>
    <t>Group2</t>
  </si>
  <si>
    <t>Group3</t>
  </si>
  <si>
    <t>HLD_SecCode</t>
  </si>
  <si>
    <t>HLD_Issuer</t>
  </si>
  <si>
    <t>HLD_Rating</t>
  </si>
  <si>
    <t>HLD_MaturityDate</t>
  </si>
  <si>
    <t>HLD_MarketValue</t>
  </si>
  <si>
    <t>HLD_AI</t>
  </si>
  <si>
    <t>HLD_Cost</t>
  </si>
  <si>
    <t>HLD_ModDuration</t>
  </si>
  <si>
    <t>HLD_YieldCost</t>
  </si>
  <si>
    <t>SEC_Class</t>
  </si>
  <si>
    <t>SEC_Currency</t>
  </si>
  <si>
    <t>SEC_Issue_Date</t>
  </si>
  <si>
    <t>SCBSFF</t>
  </si>
  <si>
    <t>FIXED INCOME</t>
  </si>
  <si>
    <t>CUSTODIAN BANK</t>
  </si>
  <si>
    <t>CASH</t>
  </si>
  <si>
    <t>BAY</t>
  </si>
  <si>
    <t>Cash Bal</t>
  </si>
  <si>
    <t>THB</t>
  </si>
  <si>
    <t>MTF</t>
  </si>
  <si>
    <t>-CNY CASH-</t>
  </si>
  <si>
    <t>SCB</t>
  </si>
  <si>
    <t>AA+(tha)</t>
  </si>
  <si>
    <t>CNHbb</t>
  </si>
  <si>
    <t>BBB+</t>
  </si>
  <si>
    <t>-EUR CASH-</t>
  </si>
  <si>
    <t>EURbb</t>
  </si>
  <si>
    <t>-HKD CASH-</t>
  </si>
  <si>
    <t>HKDbb</t>
  </si>
  <si>
    <t>-SACON SFF</t>
  </si>
  <si>
    <t>BBB</t>
  </si>
  <si>
    <t>-US CASH-</t>
  </si>
  <si>
    <t>USDbb</t>
  </si>
  <si>
    <t>TERM &amp; SAVING DEPOSIT</t>
  </si>
  <si>
    <t>CD12MTBANK14519</t>
  </si>
  <si>
    <t>TBANK</t>
  </si>
  <si>
    <t>AA-</t>
  </si>
  <si>
    <t>Bond</t>
  </si>
  <si>
    <t>AA-(tha)</t>
  </si>
  <si>
    <t>CD9MTBANK11619</t>
  </si>
  <si>
    <t>F12MABCHK100519</t>
  </si>
  <si>
    <t>ABCHK</t>
  </si>
  <si>
    <t>A</t>
  </si>
  <si>
    <t>F12MABCHK250419</t>
  </si>
  <si>
    <t>F12MADCB061118b</t>
  </si>
  <si>
    <t>ADCB</t>
  </si>
  <si>
    <t>A+</t>
  </si>
  <si>
    <t>F12MADCB161018</t>
  </si>
  <si>
    <t>F12MBOCMC040419</t>
  </si>
  <si>
    <t>BOC MACAU</t>
  </si>
  <si>
    <t>F12MBOCMC110419</t>
  </si>
  <si>
    <t>F12MBOCMC250419</t>
  </si>
  <si>
    <t>F12MGHB020819a</t>
  </si>
  <si>
    <t>GHB</t>
  </si>
  <si>
    <t>AAA(tha)</t>
  </si>
  <si>
    <t>F12MGHB060819</t>
  </si>
  <si>
    <t>F12MGHB090819</t>
  </si>
  <si>
    <t>F12MGHB141218</t>
  </si>
  <si>
    <t>F12MGHB160119</t>
  </si>
  <si>
    <t>F12MGHB170119</t>
  </si>
  <si>
    <t>F12MGHB180119</t>
  </si>
  <si>
    <t>F12MGHB210119</t>
  </si>
  <si>
    <t>F3MABCHK161018</t>
  </si>
  <si>
    <t>F6MBOCMC051118</t>
  </si>
  <si>
    <t>F6MBOCMC190319</t>
  </si>
  <si>
    <t>INVCTISCOsff1</t>
  </si>
  <si>
    <t>TISCOB</t>
  </si>
  <si>
    <t>INVSKTBsff</t>
  </si>
  <si>
    <t>KTB</t>
  </si>
  <si>
    <t>INVSUOBTsff</t>
  </si>
  <si>
    <t>UOBT</t>
  </si>
  <si>
    <t>S4MSCB030119</t>
  </si>
  <si>
    <t>BILL OF EXCHANGE</t>
  </si>
  <si>
    <t>MBKET18D18A</t>
  </si>
  <si>
    <t>MBKET</t>
  </si>
  <si>
    <t>MPSC18O09B</t>
  </si>
  <si>
    <t>MP</t>
  </si>
  <si>
    <t>MPSC18O09C</t>
  </si>
  <si>
    <t>SPALI19218A</t>
  </si>
  <si>
    <t>SPALI</t>
  </si>
  <si>
    <t>TREASURY BILL</t>
  </si>
  <si>
    <t>TB18N14A</t>
  </si>
  <si>
    <t>GOVERNMENT</t>
  </si>
  <si>
    <t>TB19403A</t>
  </si>
  <si>
    <t>BOT BOND</t>
  </si>
  <si>
    <t>CB18D06C</t>
  </si>
  <si>
    <t>BOT</t>
  </si>
  <si>
    <t>CB18D13B</t>
  </si>
  <si>
    <t>CB18D20B</t>
  </si>
  <si>
    <t>CB18N01B</t>
  </si>
  <si>
    <t>CB18N08A</t>
  </si>
  <si>
    <t>CB18N08B</t>
  </si>
  <si>
    <t>CB18N15A</t>
  </si>
  <si>
    <t>CB18N15B</t>
  </si>
  <si>
    <t>CB18N22A</t>
  </si>
  <si>
    <t>CB18N22B</t>
  </si>
  <si>
    <t>CB18N29A</t>
  </si>
  <si>
    <t>CB18N29B</t>
  </si>
  <si>
    <t>CB18O09A</t>
  </si>
  <si>
    <t>CB18O11A</t>
  </si>
  <si>
    <t>CB18O11B</t>
  </si>
  <si>
    <t>CB18O16A</t>
  </si>
  <si>
    <t>CB18O18A</t>
  </si>
  <si>
    <t>CB18O18B</t>
  </si>
  <si>
    <t>CB18O25A</t>
  </si>
  <si>
    <t>CB18O25B</t>
  </si>
  <si>
    <t>CB19103B</t>
  </si>
  <si>
    <t>DEBENTURE</t>
  </si>
  <si>
    <t>CPALL18OB</t>
  </si>
  <si>
    <t>CPALL</t>
  </si>
  <si>
    <t>BOND</t>
  </si>
  <si>
    <t>DERIVATIVE</t>
  </si>
  <si>
    <t>FORWARD</t>
  </si>
  <si>
    <t>FWCNHTHB19404A</t>
  </si>
  <si>
    <t>Future</t>
  </si>
  <si>
    <t>FWCNHTHB19411A</t>
  </si>
  <si>
    <t>FWEURTHB18N05B</t>
  </si>
  <si>
    <t>FWEURTHB19319B</t>
  </si>
  <si>
    <t>FWEURTHB19425A</t>
  </si>
  <si>
    <t>FWEURTHB19510A</t>
  </si>
  <si>
    <t>KKP</t>
  </si>
  <si>
    <t>A-</t>
  </si>
  <si>
    <t>FWUSDTHB18N06C</t>
  </si>
  <si>
    <t>FWUSDTHB18O16A</t>
  </si>
  <si>
    <t>FWUSDTHB18O16C</t>
  </si>
  <si>
    <t>FWUSDTHB19425A</t>
  </si>
  <si>
    <t>ACCRUED RECEIVE</t>
  </si>
  <si>
    <t>ACCRUED PAYABLE</t>
  </si>
  <si>
    <t>BUY SECURITY</t>
  </si>
  <si>
    <t>AUDITING FEE</t>
  </si>
  <si>
    <t>TAX</t>
  </si>
  <si>
    <t>A NEWSPAPER_NAV</t>
  </si>
  <si>
    <t>CUSTODIAN FEE</t>
  </si>
  <si>
    <t>MANAGEMENT FEE</t>
  </si>
  <si>
    <t>REGISTRAR FEE</t>
  </si>
  <si>
    <t>FEES</t>
  </si>
  <si>
    <t>Portfolio List</t>
  </si>
  <si>
    <t>SCBSFFPLUS</t>
  </si>
  <si>
    <t>SCBTMF</t>
  </si>
  <si>
    <t>SCBTMFPLUS</t>
  </si>
  <si>
    <t>-AED CASH-</t>
  </si>
  <si>
    <t>-CASH-</t>
  </si>
  <si>
    <t>AEDbb</t>
  </si>
  <si>
    <t>-GBP CASH-</t>
  </si>
  <si>
    <t>KBANK</t>
  </si>
  <si>
    <t>GBPbb</t>
  </si>
  <si>
    <t>-JPY CASH-</t>
  </si>
  <si>
    <t>JPYbb</t>
  </si>
  <si>
    <t>CD12MCMBL010219</t>
  </si>
  <si>
    <t>CMBLUX</t>
  </si>
  <si>
    <t>CD12MICBCD16119</t>
  </si>
  <si>
    <t>ICBCDUBAI</t>
  </si>
  <si>
    <t>CD12MTBANK17519</t>
  </si>
  <si>
    <t>CD1YBOCHK060319</t>
  </si>
  <si>
    <t>BOC HK</t>
  </si>
  <si>
    <t>CD1YBOCHK071218</t>
  </si>
  <si>
    <t>CD1YICBCSE08219</t>
  </si>
  <si>
    <t>ICBCSEOUL</t>
  </si>
  <si>
    <t>F12MABCHK130219</t>
  </si>
  <si>
    <t>F12MABCHK220319</t>
  </si>
  <si>
    <t>F12MABCHK230519</t>
  </si>
  <si>
    <t>F12MABCHK250619</t>
  </si>
  <si>
    <t>F12MABCHK260419</t>
  </si>
  <si>
    <t>F12MABCHK270319</t>
  </si>
  <si>
    <t>F12MABCHK280319</t>
  </si>
  <si>
    <t>F12MABCHK310119</t>
  </si>
  <si>
    <t>F12MABCHK310519</t>
  </si>
  <si>
    <t>F12MADCB181218a</t>
  </si>
  <si>
    <t>F12MBOCMC02519b</t>
  </si>
  <si>
    <t>F12MBOCMC080119</t>
  </si>
  <si>
    <t>F12MBOCMC090119</t>
  </si>
  <si>
    <t>F12MBOCMC181218</t>
  </si>
  <si>
    <t>F12MBOCMC280619</t>
  </si>
  <si>
    <t>F12MGHB010819</t>
  </si>
  <si>
    <t>F12MGHB020819</t>
  </si>
  <si>
    <t>F12MGHB260719</t>
  </si>
  <si>
    <t>F12MUNB011019</t>
  </si>
  <si>
    <t>UNB</t>
  </si>
  <si>
    <t>F12MUNB021019a</t>
  </si>
  <si>
    <t>F3MABCHK221018</t>
  </si>
  <si>
    <t>F6MABCHK120319</t>
  </si>
  <si>
    <t>F6MADCB251018</t>
  </si>
  <si>
    <t>F6MADCB261118</t>
  </si>
  <si>
    <t>F6MBOCMC191118</t>
  </si>
  <si>
    <t>F6MBOCMC201118</t>
  </si>
  <si>
    <t>INVSKTBsffplus</t>
  </si>
  <si>
    <t>INVSSCBCYsffp</t>
  </si>
  <si>
    <t>INVSSCBUSsffp</t>
  </si>
  <si>
    <t>INVSUOBTsffplus</t>
  </si>
  <si>
    <t>BANPU19206A</t>
  </si>
  <si>
    <t>BANPU</t>
  </si>
  <si>
    <t>BTSG18N20A</t>
  </si>
  <si>
    <t>BTS</t>
  </si>
  <si>
    <t>CPF18D13A</t>
  </si>
  <si>
    <t>CPF</t>
  </si>
  <si>
    <t>CPF19129A</t>
  </si>
  <si>
    <t>CPFTH18D06A</t>
  </si>
  <si>
    <t>CPFTH</t>
  </si>
  <si>
    <t>CPFTH19326B</t>
  </si>
  <si>
    <t>CPN18N13A</t>
  </si>
  <si>
    <t>CPN</t>
  </si>
  <si>
    <t>AA</t>
  </si>
  <si>
    <t>SIRI18O24A</t>
  </si>
  <si>
    <t>SIRI</t>
  </si>
  <si>
    <t>SPALI19131A</t>
  </si>
  <si>
    <t>CB18D13A</t>
  </si>
  <si>
    <t>CB18D27B</t>
  </si>
  <si>
    <t>CB18N01A</t>
  </si>
  <si>
    <t>CB19103A</t>
  </si>
  <si>
    <t>GOLD19NA</t>
  </si>
  <si>
    <t>GOLD</t>
  </si>
  <si>
    <t>ICBCTL19NA</t>
  </si>
  <si>
    <t>ICBCTL</t>
  </si>
  <si>
    <t>KK18N15A</t>
  </si>
  <si>
    <t>KK18N20A</t>
  </si>
  <si>
    <t>KK18N22A</t>
  </si>
  <si>
    <t>KK18N23A</t>
  </si>
  <si>
    <t>KK18N30B</t>
  </si>
  <si>
    <t>KK19118A</t>
  </si>
  <si>
    <t>KK19118B</t>
  </si>
  <si>
    <t>KK203A</t>
  </si>
  <si>
    <t>LHBANK199A</t>
  </si>
  <si>
    <t>LHB</t>
  </si>
  <si>
    <t>LHBANK203A</t>
  </si>
  <si>
    <t>MPSC18OA</t>
  </si>
  <si>
    <t>PS18NA</t>
  </si>
  <si>
    <t>PS</t>
  </si>
  <si>
    <t>QH213A</t>
  </si>
  <si>
    <t>QH</t>
  </si>
  <si>
    <t>SCB19218A</t>
  </si>
  <si>
    <t>SPALI213A</t>
  </si>
  <si>
    <t>TBEV203A</t>
  </si>
  <si>
    <t>THBEV</t>
  </si>
  <si>
    <t>TBEV213A</t>
  </si>
  <si>
    <t>THCOM19OB</t>
  </si>
  <si>
    <t>THCOM</t>
  </si>
  <si>
    <t>TISCO18NA</t>
  </si>
  <si>
    <t>TISCO198A</t>
  </si>
  <si>
    <t>TISCO205B</t>
  </si>
  <si>
    <t>TRUE192B</t>
  </si>
  <si>
    <t>TRUE</t>
  </si>
  <si>
    <t>TUC19129B</t>
  </si>
  <si>
    <t>TUC</t>
  </si>
  <si>
    <t>TUC218A</t>
  </si>
  <si>
    <t>WHA214A</t>
  </si>
  <si>
    <t>WHA</t>
  </si>
  <si>
    <t>WHART213A</t>
  </si>
  <si>
    <t>WHART</t>
  </si>
  <si>
    <t>WHAUP208A</t>
  </si>
  <si>
    <t>WHAUP</t>
  </si>
  <si>
    <t>BH18DA</t>
  </si>
  <si>
    <t>BH</t>
  </si>
  <si>
    <t>BJC206A</t>
  </si>
  <si>
    <t>BJC</t>
  </si>
  <si>
    <t>BTG19NA</t>
  </si>
  <si>
    <t>BTG</t>
  </si>
  <si>
    <t>CPALL193A</t>
  </si>
  <si>
    <t>DMT18NB</t>
  </si>
  <si>
    <t>DMT</t>
  </si>
  <si>
    <t>DMT20NA</t>
  </si>
  <si>
    <t>COMMERCIAL PAPER</t>
  </si>
  <si>
    <t>EMTNMASQ070319</t>
  </si>
  <si>
    <t>MASQ</t>
  </si>
  <si>
    <t>EMTNMASQ080519</t>
  </si>
  <si>
    <t>EMTNMASQ090419</t>
  </si>
  <si>
    <t>EMTNMASQ130519</t>
  </si>
  <si>
    <t>EMTNMASQ210319</t>
  </si>
  <si>
    <t>FWAEDTHB18D18A</t>
  </si>
  <si>
    <t>FWEURTHB18D07B</t>
  </si>
  <si>
    <t>FWEURTHB18N05A</t>
  </si>
  <si>
    <t>FWEURTHB19131A</t>
  </si>
  <si>
    <t>FWEURTHB19201A</t>
  </si>
  <si>
    <t>FWEURTHB19213A</t>
  </si>
  <si>
    <t>FWEURTHB19306A</t>
  </si>
  <si>
    <t>FWEURTHB19321A</t>
  </si>
  <si>
    <t>FWEURTHB19322A</t>
  </si>
  <si>
    <t>FWEURTHB19327A</t>
  </si>
  <si>
    <t>FWEURTHB19328A</t>
  </si>
  <si>
    <t>FWEURTHB19502B</t>
  </si>
  <si>
    <t>FWEURTHB19523A</t>
  </si>
  <si>
    <t>FWEURTHB19531A</t>
  </si>
  <si>
    <t>FWHKDTHB18O22A</t>
  </si>
  <si>
    <t>FWHKDTHB19312A</t>
  </si>
  <si>
    <t>FWUSDTHB18D18B</t>
  </si>
  <si>
    <t>CIMBT</t>
  </si>
  <si>
    <t>FWUSDTHB18N06D</t>
  </si>
  <si>
    <t>FWUSDTHB18N19A</t>
  </si>
  <si>
    <t>FWUSDTHB18N20A</t>
  </si>
  <si>
    <t>FWUSDTHB18N26A</t>
  </si>
  <si>
    <t>FWUSDTHB18O16B</t>
  </si>
  <si>
    <t>FWUSDTHB18O16D</t>
  </si>
  <si>
    <t>FWUSDTHB18O25A</t>
  </si>
  <si>
    <t>FWUSDTHB19108A</t>
  </si>
  <si>
    <t>FWUSDTHB19109A</t>
  </si>
  <si>
    <t>FWUSDTHB19116B</t>
  </si>
  <si>
    <t>FWUSDTHB19208A</t>
  </si>
  <si>
    <t>FWUSDTHB19307A</t>
  </si>
  <si>
    <t>FWUSDTHB19409A</t>
  </si>
  <si>
    <t>FWUSDTHB19426A</t>
  </si>
  <si>
    <t>FWUSDTHB19508A</t>
  </si>
  <si>
    <t>FWUSDTHB19513B</t>
  </si>
  <si>
    <t>FWUSDTHB19625A</t>
  </si>
  <si>
    <t>FWUSDTHB19628A</t>
  </si>
  <si>
    <t>FWUSDTHB19O01A</t>
  </si>
  <si>
    <t>FWUSDTHB19O02B</t>
  </si>
  <si>
    <t>A/R FROM SUB.</t>
  </si>
  <si>
    <t>F12MGHB090419</t>
  </si>
  <si>
    <t>INVSUOBTtmf</t>
  </si>
  <si>
    <t>SELL SECURITY</t>
  </si>
  <si>
    <t>F12MGHB071218</t>
  </si>
  <si>
    <t>INVSKTBtmfplus</t>
  </si>
  <si>
    <t>INVSUOBTtmfplus</t>
  </si>
  <si>
    <t>CB18D06A</t>
  </si>
  <si>
    <t>GHB18DA</t>
  </si>
  <si>
    <t>BAY193A</t>
  </si>
  <si>
    <t>AAA</t>
  </si>
  <si>
    <t>Portfolio</t>
  </si>
  <si>
    <t>DescTh</t>
  </si>
  <si>
    <t>DescEng</t>
  </si>
  <si>
    <t>Custodian</t>
  </si>
  <si>
    <t>CusFullName</t>
  </si>
  <si>
    <t>CustCurAcct</t>
  </si>
  <si>
    <t>CustSavAcct</t>
  </si>
  <si>
    <t>SCBCurAcct</t>
  </si>
  <si>
    <t>SCBSavAcct</t>
  </si>
  <si>
    <t>ProjDate</t>
  </si>
  <si>
    <t>EquityBuy</t>
  </si>
  <si>
    <t>EquitySell</t>
  </si>
  <si>
    <t>EquityDividend</t>
  </si>
  <si>
    <t>DebtBuy</t>
  </si>
  <si>
    <t>DebtSell</t>
  </si>
  <si>
    <t>DebtInterest</t>
  </si>
  <si>
    <t>CashEqBuy</t>
  </si>
  <si>
    <t>CashEqSell</t>
  </si>
  <si>
    <t>CashEqInterest</t>
  </si>
  <si>
    <t>Expense</t>
  </si>
  <si>
    <t>Application</t>
  </si>
  <si>
    <t>Redemtion</t>
  </si>
  <si>
    <t>SwitchIn</t>
  </si>
  <si>
    <t>SwitchOut</t>
  </si>
  <si>
    <t>CashBal</t>
  </si>
  <si>
    <t>CashEqBal</t>
  </si>
  <si>
    <t>Remark</t>
  </si>
  <si>
    <t>FundManager</t>
  </si>
  <si>
    <t>FundNameTh</t>
  </si>
  <si>
    <t>FundNameEng</t>
  </si>
  <si>
    <t>DataIndex</t>
  </si>
  <si>
    <t>StatusT</t>
  </si>
  <si>
    <t>EquityBuy_BahtNet</t>
  </si>
  <si>
    <t>EquitySell_BahtNet</t>
  </si>
  <si>
    <t>DebtBuy_BahtNet</t>
  </si>
  <si>
    <t>DebtSell_BahtNet</t>
  </si>
  <si>
    <t>CashEqBuy_BahtNet</t>
  </si>
  <si>
    <t>CashEqSell_BahtNet</t>
  </si>
  <si>
    <t>App_SCB_BahtNet</t>
  </si>
  <si>
    <t>App_Other_BahtNet</t>
  </si>
  <si>
    <t>App_SCB_Cheque</t>
  </si>
  <si>
    <t>App_Other_Cheque</t>
  </si>
  <si>
    <t>CashForUse</t>
  </si>
  <si>
    <t>CashForBahtNet</t>
  </si>
  <si>
    <t>SwIn_SCB_BahtNet</t>
  </si>
  <si>
    <t>SwIn_Other_BahtNet</t>
  </si>
  <si>
    <t>SwIn_SCB_Cheque</t>
  </si>
  <si>
    <t>SwIn_Other_Cheque</t>
  </si>
  <si>
    <t>OPSECCODE</t>
  </si>
  <si>
    <t>OPSECNAME</t>
  </si>
  <si>
    <t>OPSECDATE</t>
  </si>
  <si>
    <t>OPSECTIME</t>
  </si>
  <si>
    <t>CashForBahtNet1</t>
  </si>
  <si>
    <t>CashBal_SCB</t>
  </si>
  <si>
    <t>PortClass</t>
  </si>
  <si>
    <t>ธนาคารกสิกรไทย จำกัด (มหาชน)</t>
  </si>
  <si>
    <t>1.1. Subscription</t>
  </si>
  <si>
    <t>1.2. Switch-in</t>
  </si>
  <si>
    <t>2.1. Redemption</t>
  </si>
  <si>
    <t>2.2. Switch-out</t>
  </si>
  <si>
    <t>1.1. Subscription (Chq)</t>
  </si>
  <si>
    <t>SCBFIXED</t>
  </si>
  <si>
    <t>SCBFPFUND</t>
  </si>
  <si>
    <t>SCBPLUS</t>
  </si>
  <si>
    <t>SCBRF</t>
  </si>
  <si>
    <t>SCBRM1</t>
  </si>
  <si>
    <t>SCBRM2</t>
  </si>
  <si>
    <t>CB18O24A</t>
  </si>
  <si>
    <t>Settle Date :09/10/2018</t>
  </si>
  <si>
    <t>s82810</t>
  </si>
  <si>
    <t>DAILY CASH PROJECTION</t>
  </si>
  <si>
    <t>Previouse business day</t>
  </si>
  <si>
    <t>If get cash crd file only</t>
  </si>
  <si>
    <t>Lasted open file</t>
  </si>
  <si>
    <t>K:\Investment_Management\Share\Worksheet\auction\Mockup_Auction.xlsm</t>
  </si>
  <si>
    <t>Date</t>
  </si>
  <si>
    <t>Beginning Balance</t>
  </si>
  <si>
    <t>Saving</t>
  </si>
  <si>
    <t>Beginning</t>
  </si>
  <si>
    <t xml:space="preserve">Transaction </t>
  </si>
  <si>
    <t>Ending Saving Amount</t>
  </si>
  <si>
    <t>Cash Inflow</t>
  </si>
  <si>
    <t>Proposed Item</t>
  </si>
  <si>
    <t>Application (BN)</t>
  </si>
  <si>
    <t>Switch In (T+1)</t>
  </si>
  <si>
    <t>Application (Non Bn)</t>
  </si>
  <si>
    <t>Switch In (Other)</t>
  </si>
  <si>
    <t>Debt Mature &amp; Sell (Bn)</t>
  </si>
  <si>
    <t>Debt Mature &amp; Sell (Non Bn)</t>
  </si>
  <si>
    <t>Deposit (Bn)</t>
  </si>
  <si>
    <t>Deposit (Non Bn)</t>
  </si>
  <si>
    <t>Coupon On Bond</t>
  </si>
  <si>
    <t>Interest On Deposit</t>
  </si>
  <si>
    <t>Proposed Transaction</t>
  </si>
  <si>
    <t>Total Cash Inflow</t>
  </si>
  <si>
    <t>Cash Outflow</t>
  </si>
  <si>
    <t>Redemption</t>
  </si>
  <si>
    <t>Switch-Out</t>
  </si>
  <si>
    <t>Debt Buy (Bn)</t>
  </si>
  <si>
    <t>Debt Buy (Non Bn)</t>
  </si>
  <si>
    <t>Fee &amp; Expenses</t>
  </si>
  <si>
    <t>Total Cash Outflow</t>
  </si>
  <si>
    <t xml:space="preserve">Cross Check </t>
  </si>
  <si>
    <t>Ending Cash Balance (Intraday)</t>
  </si>
  <si>
    <t>Cash Balance (Bos)</t>
  </si>
  <si>
    <t>Difference Amount</t>
  </si>
  <si>
    <t>Datastream  Nav</t>
  </si>
  <si>
    <t>Expected Nav</t>
  </si>
  <si>
    <t>Total Buy-Sell</t>
  </si>
  <si>
    <t>% Cash  At Fund Account</t>
  </si>
  <si>
    <t>Cash Use (Projection)</t>
  </si>
  <si>
    <t>Cash For Bn (Projection)</t>
  </si>
  <si>
    <t>Cash Date</t>
  </si>
  <si>
    <t>Type</t>
  </si>
  <si>
    <t>Amount</t>
  </si>
  <si>
    <t>Detail</t>
  </si>
  <si>
    <t>Mode</t>
  </si>
  <si>
    <t>ID</t>
  </si>
  <si>
    <t>from cash CRD raw</t>
  </si>
  <si>
    <t xml:space="preserve">Amt + order excute </t>
  </si>
  <si>
    <t xml:space="preserve">from cash projection </t>
  </si>
  <si>
    <t>RefRng</t>
  </si>
  <si>
    <t>08/10/2018</t>
  </si>
  <si>
    <t>Cur</t>
  </si>
  <si>
    <t>๏ปฟSCB2566</t>
  </si>
  <si>
    <t>FTC</t>
  </si>
  <si>
    <t>R</t>
  </si>
  <si>
    <t>SCB2566</t>
  </si>
  <si>
    <t>SCB2576</t>
  </si>
  <si>
    <t>SCB2586</t>
  </si>
  <si>
    <t>SCBAEM</t>
  </si>
  <si>
    <t>SCBAEMH</t>
  </si>
  <si>
    <t>SCBAPLUSFUND</t>
  </si>
  <si>
    <t>SCBAUD</t>
  </si>
  <si>
    <t>SCBBANKINGFUND</t>
  </si>
  <si>
    <t>SCBBLN</t>
  </si>
  <si>
    <t>SCBCE</t>
  </si>
  <si>
    <t>SCBCEH</t>
  </si>
  <si>
    <t>SCBCHA</t>
  </si>
  <si>
    <t>SCBCHEQ</t>
  </si>
  <si>
    <t>SCBDAFUND</t>
  </si>
  <si>
    <t>SCBDIGI</t>
  </si>
  <si>
    <t>SCBDVFUND</t>
  </si>
  <si>
    <t>SCBEMBOND</t>
  </si>
  <si>
    <t>SCBEMEQFUND</t>
  </si>
  <si>
    <t>SCBENERGYFUND</t>
  </si>
  <si>
    <t>SCBEUEQ</t>
  </si>
  <si>
    <t>SCBEUSM</t>
  </si>
  <si>
    <t>SCBFF1YK1</t>
  </si>
  <si>
    <t>SCBFF1YK2</t>
  </si>
  <si>
    <t>SCBFF3MC6</t>
  </si>
  <si>
    <t>SCBFF6MJ9</t>
  </si>
  <si>
    <t>SCBFF6MK1</t>
  </si>
  <si>
    <t>SCBFIN</t>
  </si>
  <si>
    <t>SCBFLX</t>
  </si>
  <si>
    <t>SCBFST</t>
  </si>
  <si>
    <t>SCBGEAR</t>
  </si>
  <si>
    <t>SCBGEQFUND</t>
  </si>
  <si>
    <t>SCBGHC</t>
  </si>
  <si>
    <t>SCBGIF</t>
  </si>
  <si>
    <t>SCBGIN</t>
  </si>
  <si>
    <t>SCBGLOWP</t>
  </si>
  <si>
    <t>SCBGMT</t>
  </si>
  <si>
    <t>SCBGOLD</t>
  </si>
  <si>
    <t>SCBGOLDHFUND</t>
  </si>
  <si>
    <t>SCBGOLDHRMF</t>
  </si>
  <si>
    <t>SCBGPLUS</t>
  </si>
  <si>
    <t>SCBGPROP</t>
  </si>
  <si>
    <t>SCBGSIFUND</t>
  </si>
  <si>
    <t>SCBINC</t>
  </si>
  <si>
    <t>SCBINDIA</t>
  </si>
  <si>
    <t>SCBJPSM</t>
  </si>
  <si>
    <t>SCBKEQTG</t>
  </si>
  <si>
    <t>SCBLEQFUND</t>
  </si>
  <si>
    <t>SCBLT1</t>
  </si>
  <si>
    <t>SCBLT2</t>
  </si>
  <si>
    <t>SCBLT3</t>
  </si>
  <si>
    <t>SCBLT4</t>
  </si>
  <si>
    <t>SCBLTS</t>
  </si>
  <si>
    <t>SCBLTSE</t>
  </si>
  <si>
    <t>SCBLTSET</t>
  </si>
  <si>
    <t>SCBLTT</t>
  </si>
  <si>
    <t>SCBMLT</t>
  </si>
  <si>
    <t>SCBMSEFUND</t>
  </si>
  <si>
    <t>SCBNKY225</t>
  </si>
  <si>
    <t>SCBOILFUND</t>
  </si>
  <si>
    <t>SCBOPP</t>
  </si>
  <si>
    <t>SCBPGF</t>
  </si>
  <si>
    <t>SCBPIN</t>
  </si>
  <si>
    <t>SCBPMOFUND</t>
  </si>
  <si>
    <t>SCBPOP</t>
  </si>
  <si>
    <t>SCBRM3</t>
  </si>
  <si>
    <t>SCBRM4</t>
  </si>
  <si>
    <t>SCBRMEU</t>
  </si>
  <si>
    <t>SCBRMGHC</t>
  </si>
  <si>
    <t>SCBRMGIF</t>
  </si>
  <si>
    <t>SCBRMGW</t>
  </si>
  <si>
    <t>SCBRMGWP</t>
  </si>
  <si>
    <t>SCBRMJP</t>
  </si>
  <si>
    <t>SCBRMPOP</t>
  </si>
  <si>
    <t>SCBRMS50</t>
  </si>
  <si>
    <t>SCBROBO</t>
  </si>
  <si>
    <t>SCBS&amp;P500</t>
  </si>
  <si>
    <t>SCBSEFUND</t>
  </si>
  <si>
    <t>SCBSET50FUND</t>
  </si>
  <si>
    <t>SCBSETFUND</t>
  </si>
  <si>
    <t>SCBSMART2FUND</t>
  </si>
  <si>
    <t>SCBSMART3</t>
  </si>
  <si>
    <t>SCBSMART4</t>
  </si>
  <si>
    <t>SCBST555A</t>
  </si>
  <si>
    <t>SCBST555B</t>
  </si>
  <si>
    <t>SCBTEQFUND</t>
  </si>
  <si>
    <t>SCBTHAICG</t>
  </si>
  <si>
    <t>SCBUSHY</t>
  </si>
  <si>
    <t>SCBUSSM</t>
  </si>
  <si>
    <t>SCBWIN</t>
  </si>
  <si>
    <t>A(tha)</t>
  </si>
  <si>
    <t>Baa2</t>
  </si>
  <si>
    <t>INVCTISCOrf</t>
  </si>
  <si>
    <t>INVSKTBrf</t>
  </si>
  <si>
    <t>INVSUOBTrf</t>
  </si>
  <si>
    <t>BANSUAN161017</t>
  </si>
  <si>
    <t>BANSUAN</t>
  </si>
  <si>
    <t>SB18OA</t>
  </si>
  <si>
    <t>CALE205A</t>
  </si>
  <si>
    <t>CAL</t>
  </si>
  <si>
    <t>AMATA20OA</t>
  </si>
  <si>
    <t>AMATA</t>
  </si>
  <si>
    <t>BANPU214A</t>
  </si>
  <si>
    <t>BANPU247A</t>
  </si>
  <si>
    <t>BANPU274A</t>
  </si>
  <si>
    <t>BAY20NA</t>
  </si>
  <si>
    <t>BEM234A</t>
  </si>
  <si>
    <t>BEM</t>
  </si>
  <si>
    <t>BJC219A</t>
  </si>
  <si>
    <t>BJC239A</t>
  </si>
  <si>
    <t>BTG215A</t>
  </si>
  <si>
    <t>BTG227A</t>
  </si>
  <si>
    <t>BTG233A</t>
  </si>
  <si>
    <t>BTSC19NA</t>
  </si>
  <si>
    <t>BTSC</t>
  </si>
  <si>
    <t>BTSG20DA</t>
  </si>
  <si>
    <t>CBG206A</t>
  </si>
  <si>
    <t>CBG</t>
  </si>
  <si>
    <t>CK20NA</t>
  </si>
  <si>
    <t>CK</t>
  </si>
  <si>
    <t>CPF218B</t>
  </si>
  <si>
    <t>CPF251A</t>
  </si>
  <si>
    <t>GPSC219A</t>
  </si>
  <si>
    <t>A+(tha)</t>
  </si>
  <si>
    <t>GPSC</t>
  </si>
  <si>
    <t>BBB-</t>
  </si>
  <si>
    <t>IRPC215B</t>
  </si>
  <si>
    <t>A-(tha)</t>
  </si>
  <si>
    <t>IRPC</t>
  </si>
  <si>
    <t>IVL205A</t>
  </si>
  <si>
    <t>IVL</t>
  </si>
  <si>
    <t>NTL19DB</t>
  </si>
  <si>
    <t>NTL</t>
  </si>
  <si>
    <t>PS20NA</t>
  </si>
  <si>
    <t>QH20NA</t>
  </si>
  <si>
    <t>SPALI205A</t>
  </si>
  <si>
    <t>THCOM21OB</t>
  </si>
  <si>
    <t>TICON208A</t>
  </si>
  <si>
    <t>TICON</t>
  </si>
  <si>
    <t>TICON213A</t>
  </si>
  <si>
    <t>TISCO195B</t>
  </si>
  <si>
    <t>TRUE18N27A</t>
  </si>
  <si>
    <t>TRUE18O18B</t>
  </si>
  <si>
    <t>TRUE19129B</t>
  </si>
  <si>
    <t>TUC18D20A</t>
  </si>
  <si>
    <t>UOBT193A</t>
  </si>
  <si>
    <t>F12MGHB301118</t>
  </si>
  <si>
    <t>INVSKTBrm1</t>
  </si>
  <si>
    <t>INVSUOBTrm1</t>
  </si>
  <si>
    <t>TUC19326A</t>
  </si>
  <si>
    <t>CB19314A</t>
  </si>
  <si>
    <t>BOT192A</t>
  </si>
  <si>
    <t>BOT199A</t>
  </si>
  <si>
    <t>BOT209A</t>
  </si>
  <si>
    <t>LB206A</t>
  </si>
  <si>
    <t>AWN214B</t>
  </si>
  <si>
    <t>AWN</t>
  </si>
  <si>
    <t>BANPU207B</t>
  </si>
  <si>
    <t>BAY18OA</t>
  </si>
  <si>
    <t>BEM196A</t>
  </si>
  <si>
    <t>BJC193A</t>
  </si>
  <si>
    <t>BJC199A</t>
  </si>
  <si>
    <t>CPALL193B</t>
  </si>
  <si>
    <t>CPALL198B</t>
  </si>
  <si>
    <t>CPALL20OA</t>
  </si>
  <si>
    <t>CPF198B</t>
  </si>
  <si>
    <t>CPF204A</t>
  </si>
  <si>
    <t>CPFTH207A</t>
  </si>
  <si>
    <t>KCC199A</t>
  </si>
  <si>
    <t>KCC</t>
  </si>
  <si>
    <t>KCC203A</t>
  </si>
  <si>
    <t>KSL203A</t>
  </si>
  <si>
    <t>KSL</t>
  </si>
  <si>
    <t>LH194B</t>
  </si>
  <si>
    <t>LH</t>
  </si>
  <si>
    <t>MAJOR229A</t>
  </si>
  <si>
    <t>MAJOR</t>
  </si>
  <si>
    <t>MINT193A</t>
  </si>
  <si>
    <t>MINT</t>
  </si>
  <si>
    <t>NTL195A</t>
  </si>
  <si>
    <t>PL18OA</t>
  </si>
  <si>
    <t>PL</t>
  </si>
  <si>
    <t>PS193A</t>
  </si>
  <si>
    <t>PS19NA</t>
  </si>
  <si>
    <t>PTTC195B</t>
  </si>
  <si>
    <t>PTT</t>
  </si>
  <si>
    <t>QH194A</t>
  </si>
  <si>
    <t>QH198A</t>
  </si>
  <si>
    <t>SCCC205A</t>
  </si>
  <si>
    <t>SCCC</t>
  </si>
  <si>
    <t>TBEV223A</t>
  </si>
  <si>
    <t>TRUE19129A</t>
  </si>
  <si>
    <t>MBTH18DA</t>
  </si>
  <si>
    <t>MBT</t>
  </si>
  <si>
    <t>TLT201B</t>
  </si>
  <si>
    <t>TLT</t>
  </si>
  <si>
    <t>Settle Date :10/10/2018</t>
  </si>
  <si>
    <t>Settle Date :11/10/2018</t>
  </si>
  <si>
    <t>TAX REDEMP</t>
  </si>
  <si>
    <t>OPERATION FEE</t>
  </si>
  <si>
    <t>CD12MTBANK05719</t>
  </si>
  <si>
    <t>INVSUOBTrm2</t>
  </si>
  <si>
    <t>CB18D20A</t>
  </si>
  <si>
    <t>CB18D27A</t>
  </si>
  <si>
    <t>CB19110A</t>
  </si>
  <si>
    <t>CB19131A</t>
  </si>
  <si>
    <t>CB19214A</t>
  </si>
  <si>
    <t>CB19228A</t>
  </si>
  <si>
    <t>CB19307A</t>
  </si>
  <si>
    <t>CB19321A</t>
  </si>
  <si>
    <t>CB19328A</t>
  </si>
  <si>
    <t>CB19404A</t>
  </si>
  <si>
    <t>CB19606A</t>
  </si>
  <si>
    <t>CB19905A</t>
  </si>
  <si>
    <t>BOT193A</t>
  </si>
  <si>
    <t>BOT203A</t>
  </si>
  <si>
    <t>ILB217A</t>
  </si>
  <si>
    <t>LB226A</t>
  </si>
  <si>
    <t>LB22DA</t>
  </si>
  <si>
    <t>LB23DA</t>
  </si>
  <si>
    <t>SRT224A</t>
  </si>
  <si>
    <t>SRT</t>
  </si>
  <si>
    <t>BEM20OA</t>
  </si>
  <si>
    <t>BEM229A</t>
  </si>
  <si>
    <t>BJC203A</t>
  </si>
  <si>
    <t>BJC243A</t>
  </si>
  <si>
    <t>CK217A</t>
  </si>
  <si>
    <t>CPALL233A</t>
  </si>
  <si>
    <t>CPF235A</t>
  </si>
  <si>
    <t>CPF244A</t>
  </si>
  <si>
    <t>CPFTH211A</t>
  </si>
  <si>
    <t>CPFTH231A</t>
  </si>
  <si>
    <t>LH194A</t>
  </si>
  <si>
    <t>MINT205A</t>
  </si>
  <si>
    <t>MINT213A</t>
  </si>
  <si>
    <t>PS207A</t>
  </si>
  <si>
    <t>QH205A</t>
  </si>
  <si>
    <t>SCCC245A</t>
  </si>
  <si>
    <t>SPALI202A</t>
  </si>
  <si>
    <t>TBEV233A</t>
  </si>
  <si>
    <t>SWAP</t>
  </si>
  <si>
    <t>/SCBFIFL26DC</t>
  </si>
  <si>
    <t>Swap</t>
  </si>
  <si>
    <t>OTHER RECEIVABLE</t>
  </si>
  <si>
    <t>CD12MTBANK26419</t>
  </si>
  <si>
    <t>CD1YBOCHK301118</t>
  </si>
  <si>
    <t>F12MABCHK080219</t>
  </si>
  <si>
    <t>F12MABCHK250319</t>
  </si>
  <si>
    <t>F12MADCB061118</t>
  </si>
  <si>
    <t>F12MBOCMC020519</t>
  </si>
  <si>
    <t>F12MBOCMC200919</t>
  </si>
  <si>
    <t>F12MGHB080819</t>
  </si>
  <si>
    <t>F12MGHB120419</t>
  </si>
  <si>
    <t>F12MGHB190419</t>
  </si>
  <si>
    <t>F12MGHB230119</t>
  </si>
  <si>
    <t>F12MUNB021019</t>
  </si>
  <si>
    <t>F6MADCB241018</t>
  </si>
  <si>
    <t>INVSUOBTfp</t>
  </si>
  <si>
    <t>BOT202B</t>
  </si>
  <si>
    <t>LB191A</t>
  </si>
  <si>
    <t>LB193A</t>
  </si>
  <si>
    <t>LB21DA</t>
  </si>
  <si>
    <t>EXAT229A</t>
  </si>
  <si>
    <t>EXAT</t>
  </si>
  <si>
    <t>EA217A</t>
  </si>
  <si>
    <t>EA</t>
  </si>
  <si>
    <t>GED198A</t>
  </si>
  <si>
    <t>GED</t>
  </si>
  <si>
    <t>TLT202A</t>
  </si>
  <si>
    <t>TLT20NA</t>
  </si>
  <si>
    <t>EASTW226A</t>
  </si>
  <si>
    <t>EASTW</t>
  </si>
  <si>
    <t>ABPSPV204A</t>
  </si>
  <si>
    <t>ABPSPV</t>
  </si>
  <si>
    <t>ABPSPV214A</t>
  </si>
  <si>
    <t>ABPSPV224A</t>
  </si>
  <si>
    <t>TREIT216A</t>
  </si>
  <si>
    <t>TREIT</t>
  </si>
  <si>
    <t>TRUE22NA</t>
  </si>
  <si>
    <t>UOBT213A</t>
  </si>
  <si>
    <t>AYCAL197A</t>
  </si>
  <si>
    <t>AYCAL</t>
  </si>
  <si>
    <t>BAY196A</t>
  </si>
  <si>
    <t>BAY211A</t>
  </si>
  <si>
    <t>BAY217A</t>
  </si>
  <si>
    <t>BCH211A</t>
  </si>
  <si>
    <t>BCH</t>
  </si>
  <si>
    <t>BCH22DA</t>
  </si>
  <si>
    <t>BEM216A</t>
  </si>
  <si>
    <t>BJC223A</t>
  </si>
  <si>
    <t>BTG207A</t>
  </si>
  <si>
    <t>CKP216A</t>
  </si>
  <si>
    <t>CKP</t>
  </si>
  <si>
    <t>CPALL20OB</t>
  </si>
  <si>
    <t>CPF198A</t>
  </si>
  <si>
    <t>CPF205A</t>
  </si>
  <si>
    <t>CPF228A</t>
  </si>
  <si>
    <t>CPFTH237A</t>
  </si>
  <si>
    <t>CPN19NA</t>
  </si>
  <si>
    <t>CPN20DA</t>
  </si>
  <si>
    <t>DTN207A</t>
  </si>
  <si>
    <t>AA+</t>
  </si>
  <si>
    <t>DTN</t>
  </si>
  <si>
    <t>GLOW19OA</t>
  </si>
  <si>
    <t>GLOW</t>
  </si>
  <si>
    <t>HMPRO198A</t>
  </si>
  <si>
    <t>HMPRO</t>
  </si>
  <si>
    <t>HMPRO19DA</t>
  </si>
  <si>
    <t>IVL216A</t>
  </si>
  <si>
    <t>KSL215A</t>
  </si>
  <si>
    <t>LH19OB</t>
  </si>
  <si>
    <t>LH204A</t>
  </si>
  <si>
    <t>LH204B</t>
  </si>
  <si>
    <t>LH20OA</t>
  </si>
  <si>
    <t>LH20OB</t>
  </si>
  <si>
    <t>MBK262A</t>
  </si>
  <si>
    <t>MBK</t>
  </si>
  <si>
    <t>MPSC199A</t>
  </si>
  <si>
    <t>MPSC19OA</t>
  </si>
  <si>
    <t>MPSC209A</t>
  </si>
  <si>
    <t>MPSC20OA</t>
  </si>
  <si>
    <t>MPSC20OB</t>
  </si>
  <si>
    <t>PS213A</t>
  </si>
  <si>
    <t>PSH215A</t>
  </si>
  <si>
    <t>PSH</t>
  </si>
  <si>
    <t>PTTC195A</t>
  </si>
  <si>
    <t>PTTC20NA</t>
  </si>
  <si>
    <t>PTTC21NA</t>
  </si>
  <si>
    <t>QH196A</t>
  </si>
  <si>
    <t>SCC248A</t>
  </si>
  <si>
    <t>SCC</t>
  </si>
  <si>
    <t>SCCC244A</t>
  </si>
  <si>
    <t>SIRI204A</t>
  </si>
  <si>
    <t>SPALI19DA</t>
  </si>
  <si>
    <t>EMTNABCHK101218</t>
  </si>
  <si>
    <t>FWEURTHB18D07A</t>
  </si>
  <si>
    <t>FWEURTHB18N30A</t>
  </si>
  <si>
    <t>TMB</t>
  </si>
  <si>
    <t>FWEURTHB19208A</t>
  </si>
  <si>
    <t>FWEURTHB19325A</t>
  </si>
  <si>
    <t>FWEURTHB19502A</t>
  </si>
  <si>
    <t>FWUSDTHB18D18A</t>
  </si>
  <si>
    <t>FWUSDTHB18N06A</t>
  </si>
  <si>
    <t>FWUSDTHB18O24A</t>
  </si>
  <si>
    <t>FWUSDTHB19116A</t>
  </si>
  <si>
    <t>FWUSDTHB19920A</t>
  </si>
  <si>
    <t>FWUSDTHB19O02A</t>
  </si>
  <si>
    <t>/SCBFIFL25DA</t>
  </si>
  <si>
    <t>/SCBFIFL196A</t>
  </si>
  <si>
    <t>/SCBFIFL236A</t>
  </si>
  <si>
    <t>/SCBTHUS18DA</t>
  </si>
  <si>
    <t>/SCBFIFL26DB</t>
  </si>
  <si>
    <t>/SCBFIFL217A</t>
  </si>
  <si>
    <t>/SCBFIFL218A</t>
  </si>
  <si>
    <t>/CIMBFIFL238A</t>
  </si>
  <si>
    <t>/CIMBFIFL218A</t>
  </si>
  <si>
    <t>EQUITY</t>
  </si>
  <si>
    <t>UNIT TRUST</t>
  </si>
  <si>
    <t>B-WORK</t>
  </si>
  <si>
    <t>BBLAM</t>
  </si>
  <si>
    <t>Stock</t>
  </si>
  <si>
    <t>BOFFICE</t>
  </si>
  <si>
    <t>BHIRAJREIT</t>
  </si>
  <si>
    <t>BTSGIF</t>
  </si>
  <si>
    <t>CPNREIT</t>
  </si>
  <si>
    <t>CPNREITMGT</t>
  </si>
  <si>
    <t>DIF</t>
  </si>
  <si>
    <t>SCBAM</t>
  </si>
  <si>
    <t>EGATIF</t>
  </si>
  <si>
    <t>KTAM</t>
  </si>
  <si>
    <t>GVREIT</t>
  </si>
  <si>
    <t>UVRM</t>
  </si>
  <si>
    <t>HREIT</t>
  </si>
  <si>
    <t>HEMRAJRM</t>
  </si>
  <si>
    <t>IMPACT</t>
  </si>
  <si>
    <t>RMI</t>
  </si>
  <si>
    <t>JASIF</t>
  </si>
  <si>
    <t>QHPF</t>
  </si>
  <si>
    <t>LHFUND</t>
  </si>
  <si>
    <t>SHREIT</t>
  </si>
  <si>
    <t>STRATEGIC</t>
  </si>
  <si>
    <t>SPF</t>
  </si>
  <si>
    <t>PHATRAAM</t>
  </si>
  <si>
    <t>TLGF</t>
  </si>
  <si>
    <t>TICONMANAGE</t>
  </si>
  <si>
    <t>WHAREIT</t>
  </si>
  <si>
    <t>CD6MWOORI111018</t>
  </si>
  <si>
    <t>WOORIHK</t>
  </si>
  <si>
    <t>F12MSECB290519a</t>
  </si>
  <si>
    <t>SECB</t>
  </si>
  <si>
    <t>F12MUNB020719</t>
  </si>
  <si>
    <t>INVSKBANKplus</t>
  </si>
  <si>
    <t>INVSUOBTplus</t>
  </si>
  <si>
    <t>CB19221A</t>
  </si>
  <si>
    <t>BOT208A</t>
  </si>
  <si>
    <t>GSB225A</t>
  </si>
  <si>
    <t>GSB</t>
  </si>
  <si>
    <t>BTSG209A</t>
  </si>
  <si>
    <t>CPALL213C</t>
  </si>
  <si>
    <t>CSC00001</t>
  </si>
  <si>
    <t>SC SG</t>
  </si>
  <si>
    <t>CSC00002</t>
  </si>
  <si>
    <t>CSG00001</t>
  </si>
  <si>
    <t>SOCGEN</t>
  </si>
  <si>
    <t>MPSC22DA</t>
  </si>
  <si>
    <t>MPSC22OA</t>
  </si>
  <si>
    <t>MPSC233A</t>
  </si>
  <si>
    <t>MPSC236A</t>
  </si>
  <si>
    <t>SPW238A</t>
  </si>
  <si>
    <t>SPW</t>
  </si>
  <si>
    <t>TBEV283A</t>
  </si>
  <si>
    <t>TOP230123US</t>
  </si>
  <si>
    <t>TOP</t>
  </si>
  <si>
    <t>TTW232A</t>
  </si>
  <si>
    <t>TTW</t>
  </si>
  <si>
    <t>KNM21NA</t>
  </si>
  <si>
    <t>KNM</t>
  </si>
  <si>
    <t>EMTNICIUK120619</t>
  </si>
  <si>
    <t>ICICI BANK UK</t>
  </si>
  <si>
    <t>EMTNMASQ170419</t>
  </si>
  <si>
    <t>EMTNTMBCA011021</t>
  </si>
  <si>
    <t>TMBCAYMAN</t>
  </si>
  <si>
    <t>BEABCIAHKa</t>
  </si>
  <si>
    <t>BEAUI</t>
  </si>
  <si>
    <t>BEAPIGRHKa</t>
  </si>
  <si>
    <t>FWHKDTHB18N08A</t>
  </si>
  <si>
    <t>FWUSDTHB18O11F</t>
  </si>
  <si>
    <t>FWUSDTHB18O25C</t>
  </si>
  <si>
    <t>FWUSDTHB19417F</t>
  </si>
  <si>
    <t>FWUSDTHB19529B</t>
  </si>
  <si>
    <t>FWUSDTHB19612F</t>
  </si>
  <si>
    <t>FWUSDTHB19620A</t>
  </si>
  <si>
    <t>ANZ</t>
  </si>
  <si>
    <t>FWUSDTHB19702A</t>
  </si>
  <si>
    <t>/SCBTHUS21OA</t>
  </si>
  <si>
    <t>/SCBTHUS231C</t>
  </si>
  <si>
    <t>กองทุนเปิดไทยพาณิชย์ตราสารหนี้</t>
  </si>
  <si>
    <t>SCB Fixed Income Fund</t>
  </si>
  <si>
    <t>INVSUOBTfixed</t>
  </si>
  <si>
    <t>EA19214A</t>
  </si>
  <si>
    <t>CB19117A</t>
  </si>
  <si>
    <t>CPALL198C</t>
  </si>
  <si>
    <t>MBTH19DA</t>
  </si>
  <si>
    <t>TLT198B</t>
  </si>
  <si>
    <t>BANPU195A</t>
  </si>
  <si>
    <t>TOP193A</t>
  </si>
  <si>
    <t>NTL197A</t>
  </si>
  <si>
    <t>FWEURTHB19319A</t>
  </si>
  <si>
    <t>DEFERED CHARGE</t>
  </si>
  <si>
    <t>D SEC FEE</t>
  </si>
  <si>
    <t xml:space="preserve">               </t>
  </si>
  <si>
    <t>745-1-02234-7</t>
  </si>
  <si>
    <t>049-3-14574-4</t>
  </si>
  <si>
    <t>Eakaluck</t>
  </si>
  <si>
    <t>เอกลักษณ์ กระแสเศียร</t>
  </si>
  <si>
    <t xml:space="preserve">Eakaluck Krasaesian </t>
  </si>
  <si>
    <t>09:58:16 PM</t>
  </si>
  <si>
    <t>09:58:17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</si>
</sst>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87" formatCode="ddd\ dd\-mm\-yy"/>
    <numFmt numFmtId="188" formatCode="dd/mm/yyyy"/>
  </numFmts>
  <fonts count="8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rgb="FF3F3F76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theme="0"/>
      <name val="Tahoma"/>
      <family val="2"/>
      <scheme val="minor"/>
    </font>
    <font>
      <b/>
      <sz val="11"/>
      <color rgb="FF3F3F76"/>
      <name val="Tahoma"/>
      <family val="2"/>
      <scheme val="minor"/>
    </font>
    <font>
      <b/>
      <sz val="11"/>
      <color rgb="FF7030A0"/>
      <name val="Tahoma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2" borderId="1" applyNumberFormat="0" applyAlignment="0" applyProtection="0"/>
  </cellStyleXfs>
  <cellXfs count="51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14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quotePrefix="1"/>
    <xf numFmtId="0" fontId="5" fillId="5" borderId="0" xfId="0" applyFont="1" applyFill="1" applyBorder="1"/>
    <xf numFmtId="0" fontId="0" fillId="0" borderId="0" xfId="0" applyBorder="1"/>
    <xf numFmtId="0" fontId="4" fillId="4" borderId="0" xfId="0" applyFont="1" applyFill="1" applyBorder="1" applyAlignment="1">
      <alignment horizontal="center"/>
    </xf>
    <xf numFmtId="14" fontId="4" fillId="4" borderId="0" xfId="0" applyNumberFormat="1" applyFont="1" applyFill="1" applyBorder="1"/>
    <xf numFmtId="0" fontId="4" fillId="4" borderId="0" xfId="0" applyFont="1" applyFill="1" applyBorder="1"/>
    <xf numFmtId="0" fontId="2" fillId="3" borderId="0" xfId="0" applyFont="1" applyFill="1" applyBorder="1"/>
    <xf numFmtId="0" fontId="0" fillId="3" borderId="0" xfId="0" applyFill="1" applyBorder="1"/>
    <xf numFmtId="0" fontId="4" fillId="5" borderId="0" xfId="0" applyFont="1" applyFill="1" applyBorder="1"/>
    <xf numFmtId="0" fontId="0" fillId="7" borderId="0" xfId="0" applyFill="1" applyBorder="1"/>
    <xf numFmtId="0" fontId="2" fillId="0" borderId="4" xfId="0" applyFont="1" applyFill="1" applyBorder="1" applyAlignment="1">
      <alignment horizontal="left"/>
    </xf>
    <xf numFmtId="0" fontId="0" fillId="0" borderId="4" xfId="0" applyFill="1" applyBorder="1"/>
    <xf numFmtId="0" fontId="3" fillId="0" borderId="2" xfId="2" applyFill="1" applyBorder="1"/>
    <xf numFmtId="0" fontId="0" fillId="8" borderId="0" xfId="0" applyFill="1" applyBorder="1"/>
    <xf numFmtId="0" fontId="4" fillId="5" borderId="0" xfId="0" applyFont="1" applyFill="1" applyBorder="1" applyAlignment="1">
      <alignment horizontal="left"/>
    </xf>
    <xf numFmtId="0" fontId="0" fillId="8" borderId="0" xfId="0" applyFill="1"/>
    <xf numFmtId="0" fontId="0" fillId="0" borderId="0" xfId="0" applyBorder="1" applyAlignment="1">
      <alignment horizontal="left" indent="2"/>
    </xf>
    <xf numFmtId="0" fontId="6" fillId="0" borderId="2" xfId="2" applyFont="1" applyFill="1" applyBorder="1" applyAlignment="1">
      <alignment horizontal="left" indent="2"/>
    </xf>
    <xf numFmtId="0" fontId="2" fillId="7" borderId="0" xfId="0" applyFont="1" applyFill="1" applyBorder="1" applyAlignment="1">
      <alignment horizontal="left" indent="2"/>
    </xf>
    <xf numFmtId="0" fontId="4" fillId="9" borderId="0" xfId="0" applyFont="1" applyFill="1" applyBorder="1" applyAlignment="1">
      <alignment horizontal="left"/>
    </xf>
    <xf numFmtId="14" fontId="4" fillId="9" borderId="0" xfId="0" applyNumberFormat="1" applyFont="1" applyFill="1" applyBorder="1"/>
    <xf numFmtId="0" fontId="4" fillId="9" borderId="0" xfId="0" applyFont="1" applyFill="1" applyBorder="1"/>
    <xf numFmtId="0" fontId="7" fillId="0" borderId="0" xfId="0" applyFont="1"/>
    <xf numFmtId="0" fontId="2" fillId="10" borderId="0" xfId="0" applyFont="1" applyFill="1" applyAlignment="1">
      <alignment horizontal="center"/>
    </xf>
    <xf numFmtId="14" fontId="2" fillId="6" borderId="0" xfId="0" applyNumberFormat="1" applyFont="1" applyFill="1" applyAlignment="1">
      <alignment horizontal="center"/>
    </xf>
    <xf numFmtId="0" fontId="2" fillId="11" borderId="3" xfId="0" applyFont="1" applyFill="1" applyBorder="1"/>
    <xf numFmtId="0" fontId="0" fillId="0" borderId="3" xfId="0" applyFont="1" applyBorder="1"/>
    <xf numFmtId="40" fontId="0" fillId="0" borderId="3" xfId="1" applyNumberFormat="1" applyFont="1" applyBorder="1"/>
    <xf numFmtId="187" fontId="4" fillId="4" borderId="0" xfId="0" applyNumberFormat="1" applyFont="1" applyFill="1" applyBorder="1"/>
    <xf numFmtId="0" fontId="0" fillId="12" borderId="0" xfId="0" applyFill="1" applyBorder="1" applyAlignment="1">
      <alignment horizontal="left" indent="2"/>
    </xf>
    <xf numFmtId="0" fontId="0" fillId="12" borderId="0" xfId="0" applyFill="1" applyBorder="1"/>
    <xf numFmtId="0" fontId="0" fillId="13" borderId="0" xfId="0" applyFill="1" applyBorder="1" applyAlignment="1">
      <alignment horizontal="left" indent="2"/>
    </xf>
    <xf numFmtId="0" fontId="0" fillId="13" borderId="0" xfId="0" applyFill="1" applyBorder="1"/>
    <xf numFmtId="0" fontId="0" fillId="14" borderId="0" xfId="0" applyFill="1" applyBorder="1" applyAlignment="1">
      <alignment horizontal="left" indent="2"/>
    </xf>
    <xf numFmtId="0" fontId="0" fillId="14" borderId="0" xfId="0" applyFill="1" applyBorder="1"/>
    <xf numFmtId="4" fontId="0" fillId="0" borderId="0" xfId="0" applyNumberFormat="1" applyBorder="1"/>
    <xf numFmtId="4" fontId="0" fillId="0" borderId="4" xfId="0" applyNumberFormat="1" applyFill="1" applyBorder="1"/>
    <xf numFmtId="40" fontId="0" fillId="0" borderId="0" xfId="1" applyNumberFormat="1" applyFont="1" applyBorder="1"/>
    <xf numFmtId="40" fontId="0" fillId="0" borderId="5" xfId="1" applyNumberFormat="1" applyFont="1" applyBorder="1"/>
    <xf numFmtId="0" fontId="0" fillId="9" borderId="0" xfId="0" applyFill="1" applyBorder="1" applyAlignment="1">
      <alignment horizontal="left" indent="2"/>
    </xf>
    <xf numFmtId="0" fontId="0" fillId="9" borderId="0" xfId="0" applyFill="1" applyBorder="1"/>
    <xf numFmtId="0" fontId="0" fillId="0" borderId="0" xfId="0" applyNumberFormat="1"/>
    <xf numFmtId="14" fontId="2" fillId="11" borderId="3" xfId="0" applyNumberFormat="1" applyFont="1" applyFill="1" applyBorder="1"/>
    <xf numFmtId="14" fontId="0" fillId="0" borderId="0" xfId="0" applyNumberFormat="1"/>
    <xf numFmtId="188" fontId="0" fillId="0" borderId="0" xfId="0" applyNumberFormat="1"/>
  </cellXfs>
  <cellStyles count="3">
    <cellStyle name="Comma" xfId="1" builtinId="3"/>
    <cellStyle name="Input" xfId="2" builtinId="20"/>
    <cellStyle name="Normal" xfId="0" builtinId="0"/>
  </cellStyles>
  <dxfs count="17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188" formatCode="dd/mm/yyyy"/>
    </dxf>
  </dxfs>
  <tableStyles count="0" defaultTableStyle="TableStyleMedium2" defaultPivotStyle="PivotStyleLight16"/>
  <colors>
    <mruColors>
      <color rgb="FFB17ED8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Office10\Addins\SCBAM_CON2SPCD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</sheetNames>
    <definedNames>
      <definedName name="SCBAM_GetSecDtl"/>
      <definedName name="SCBAM_NextBusinessDay"/>
      <definedName name="SCBAM_PreviousBusinessDay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9DE5EE-6BEA-4028-A3B4-58FBE37E202F}" name="CashIntraTable" displayName="CashIntraTable" ref="A1:I841" totalsRowShown="0">
  <autoFilter ref="A1:I841" xr:uid="{3C59359B-F8C2-417C-865F-3E9D13692A7F}"/>
  <tableColumns count="9">
    <tableColumn id="1" xr3:uid="{88EB0948-85E1-4C35-B1DA-351931275ADC}" name="Portfolio"/>
    <tableColumn id="2" xr3:uid="{94E6B2CA-22C2-48FC-BB2F-5AF54FD79E36}" name="Cur"/>
    <tableColumn id="3" xr3:uid="{9964455B-A891-488C-923E-A1440A7CD09B}" name="Cash Date" dataDxfId="16"/>
    <tableColumn id="4" xr3:uid="{3D2E7043-0458-4BCC-B4AA-2FB54068517D}" name="Type"/>
    <tableColumn id="5" xr3:uid="{5EFBC911-2C62-4F30-9F26-5A3A10CA6438}" name="Amount"/>
    <tableColumn id="6" xr3:uid="{A7319921-AA01-4D98-8C65-D8304059B886}" name="Detail"/>
    <tableColumn id="7" xr3:uid="{E1E6CCD9-F334-4DC4-8C7E-44F077C52011}" name="Mode"/>
    <tableColumn id="8" xr3:uid="{541CEEB3-061F-47B7-83B6-1B1E245DAADB}" name="ID"/>
    <tableColumn id="9" xr3:uid="{34BAE64D-DF7F-461A-86AF-DECF558D7B83}" name="RefRng">
      <calculatedColumnFormula>CashIntraTable[Portfolio]&amp;VALUE(CashIntraTable[Cash Date])&amp;CashIntraTable[Detail]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9EA97B-DAFA-48CD-9FF1-71113865415C}" name="DataTable" displayName="DataTable" ref="A1:R954" totalsRowShown="0">
  <autoFilter ref="A1:R954" xr:uid="{35C98E9F-E167-4B86-9E39-83DCBCFEF853}"/>
  <tableColumns count="18">
    <tableColumn id="1" xr3:uid="{73593C56-B5E0-4429-ABEC-FC4D9810025C}" name="HLD_Date" dataDxfId="15"/>
    <tableColumn id="2" xr3:uid="{B7C53A23-6082-4834-B84B-6FBAB7528E41}" name="HLD_Portfolio"/>
    <tableColumn id="3" xr3:uid="{492238F6-6913-41F2-8E41-990EEC2DC1A7}" name="Group1"/>
    <tableColumn id="4" xr3:uid="{36A6DAD3-909C-4182-B52D-4AE69B84DF84}" name="Group2"/>
    <tableColumn id="5" xr3:uid="{F2001132-773E-449F-8A01-1A23302C2670}" name="Group3"/>
    <tableColumn id="6" xr3:uid="{B2DE208E-EE2F-49B0-9C33-2E68D6DAD332}" name="HLD_SecCode"/>
    <tableColumn id="7" xr3:uid="{33DDB40B-D77A-45CE-A696-6CDBDB9C6C83}" name="HLD_Issuer"/>
    <tableColumn id="8" xr3:uid="{13853DAF-1C98-45F2-A123-3C6699B66C15}" name="HLD_Rating"/>
    <tableColumn id="9" xr3:uid="{6DF99013-113B-4E8F-883E-86AFC0D833F7}" name="HLD_MaturityDate" dataDxfId="14"/>
    <tableColumn id="10" xr3:uid="{96CBFC27-3314-44A5-8658-FEA5E3049E26}" name="HLD_MarketValue" dataDxfId="13"/>
    <tableColumn id="11" xr3:uid="{E9C93296-83CC-4A82-9104-8BBC6526CF5B}" name="HLD_AI"/>
    <tableColumn id="12" xr3:uid="{2EEAF628-172B-41EF-BC69-C6A8FE2D92FA}" name="HLD_Cost"/>
    <tableColumn id="13" xr3:uid="{8E2E860B-BB1D-482E-BA74-CB95115860FF}" name="HLD_ModDuration"/>
    <tableColumn id="14" xr3:uid="{E34BF21A-DF2C-43BA-BBC0-8C162459F4BE}" name="HLD_YieldCost"/>
    <tableColumn id="15" xr3:uid="{6D775B87-EF2D-4485-B38D-D3114AE75057}" name="SEC_Class"/>
    <tableColumn id="16" xr3:uid="{01940705-488B-45A2-BE5A-20AF929AF698}" name="SEC_Currency"/>
    <tableColumn id="17" xr3:uid="{BDD355A4-71C5-4AED-88A1-C185BE7C4573}" name="SEC_Issue_Date" dataDxfId="12"/>
    <tableColumn id="18" xr3:uid="{7BC0F2D7-F74F-4BBF-93F2-719A85DAA733}" name="RefRng" dataDxfId="11">
      <calculatedColumnFormula>DataTable[HLD_Portfolio]&amp;DataTable[HLD_Date]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0F8FCF-D376-4B6A-AD61-50A74690AEA8}" name="CashProjTable" displayName="CashProjTable" ref="A1:AA161" totalsRowShown="0">
  <autoFilter ref="A1:AA161" xr:uid="{9077A6B0-A50B-4568-B45F-2BBD7E6355A4}"/>
  <tableColumns count="27">
    <tableColumn id="1" xr3:uid="{B45DA52B-F60E-4A60-A97D-743F219953E9}" name="Portfolio"/>
    <tableColumn id="2" xr3:uid="{6C079AE6-B7C9-4EC6-94DF-77D8E337FDCB}" name="Custodian"/>
    <tableColumn id="3" xr3:uid="{AFE982E6-1A3D-47B0-A2B5-E682E1FFFADD}" name="ProjDate" dataDxfId="10"/>
    <tableColumn id="4" xr3:uid="{A6496386-429A-4FC7-B75B-51830D4C9DFA}" name="DebtBuy"/>
    <tableColumn id="5" xr3:uid="{B0FB8A8B-1B49-4604-9A05-0CA39C63FE62}" name="DebtSell"/>
    <tableColumn id="6" xr3:uid="{C2A3FBF7-DA0C-472E-BF06-3448BC2E9349}" name="DebtInterest"/>
    <tableColumn id="7" xr3:uid="{4BC3F1D2-108E-4728-9BE2-FA06EF81A940}" name="CashEqBuy"/>
    <tableColumn id="8" xr3:uid="{E2487DCE-49A2-4250-9C14-A193D9A62433}" name="CashEqSell"/>
    <tableColumn id="9" xr3:uid="{CA8F419A-DF8E-4785-892B-6F6D05ECC121}" name="CashEqInterest"/>
    <tableColumn id="10" xr3:uid="{6B6B0E9A-B4C1-4B84-AFB1-241FDE54BF55}" name="Expense"/>
    <tableColumn id="11" xr3:uid="{2F2D8A77-E945-4595-90EE-CB9BF065F4E9}" name="Application"/>
    <tableColumn id="12" xr3:uid="{68F7B3AD-6292-41AF-92D4-8DAB19CE84A9}" name="Redemtion"/>
    <tableColumn id="13" xr3:uid="{66882AA2-A94C-48B9-873B-76B1AC5F9C60}" name="SwitchIn"/>
    <tableColumn id="14" xr3:uid="{4ACBB8F7-5C8F-4319-910C-AFD6A172836A}" name="SwitchOut"/>
    <tableColumn id="15" xr3:uid="{82089495-8B65-446B-B063-A1AE759BB79C}" name="CashBal"/>
    <tableColumn id="16" xr3:uid="{E28B219E-316C-4F33-82EC-19C8B67642A2}" name="CashEqBal" dataDxfId="9" dataCellStyle="Comma"/>
    <tableColumn id="17" xr3:uid="{90AAE8A0-7E24-4D69-97F7-57890E85FC14}" name="DebtBuy_BahtNet"/>
    <tableColumn id="18" xr3:uid="{321BC403-B12D-4C58-A5CE-83643A405857}" name="DebtSell_BahtNet"/>
    <tableColumn id="19" xr3:uid="{0F75505F-F48C-4BC6-986F-77D503737315}" name="CashEqBuy_BahtNet"/>
    <tableColumn id="20" xr3:uid="{2B674010-A9D2-44CD-A766-A4ECB96AB4D6}" name="CashEqSell_BahtNet"/>
    <tableColumn id="21" xr3:uid="{364DB900-CCEA-4FEF-8B8B-2C7EFEC73023}" name="App_SCB_BahtNet"/>
    <tableColumn id="22" xr3:uid="{C26FFFA4-0675-419C-8700-F818EEF7FB8C}" name="App_Other_BahtNet"/>
    <tableColumn id="23" xr3:uid="{F0566C95-B4AD-4A2A-B835-56A6487A5A20}" name="App_SCB_Cheque"/>
    <tableColumn id="24" xr3:uid="{47E745F3-25A9-469E-B360-F2243B33A972}" name="App_Other_Cheque"/>
    <tableColumn id="25" xr3:uid="{103E7C3E-DA8F-45B4-AE71-7B188417F105}" name="CashForUse"/>
    <tableColumn id="26" xr3:uid="{3BE3B8CF-8F26-4C2D-A0B3-1CEC8CFCB59B}" name="CashForBahtNet"/>
    <tableColumn id="27" xr3:uid="{9DB01920-187B-4423-8337-ECB5E19D6AF8}" name="RefRng">
      <calculatedColumnFormula>CashProjTable[Portfolio]&amp;CashProjTable[ProjDate]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689C-8678-46E1-BC5A-DD4783CB7976}">
  <sheetPr codeName="Sheet4"/>
  <dimension ref="A1:H28"/>
  <sheetViews>
    <sheetView workbookViewId="0">
      <selection activeCell="A2" sqref="A2"/>
    </sheetView>
  </sheetViews>
  <sheetFormatPr defaultRowHeight="14.25" x14ac:dyDescent="0.2"/>
  <cols>
    <col min="1" max="1" width="13.75" customWidth="1"/>
    <col min="2" max="2" width="29" customWidth="1"/>
    <col min="3" max="3" width="19.25" customWidth="1"/>
    <col min="4" max="4" width="15.75" customWidth="1"/>
    <col min="5" max="5" width="15" customWidth="1"/>
    <col min="6" max="6" width="21.125" customWidth="1"/>
    <col min="7" max="7" width="19.5" customWidth="1"/>
    <col min="8" max="8" width="15.875" customWidth="1"/>
    <col min="9" max="9" width="15.625" customWidth="1"/>
    <col min="10" max="10" width="21.125" customWidth="1"/>
    <col min="11" max="11" width="16.25" customWidth="1"/>
    <col min="12" max="12" width="24.625" customWidth="1"/>
  </cols>
  <sheetData>
    <row r="1" spans="1:8" x14ac:dyDescent="0.2">
      <c r="A1" t="s">
        <v>141</v>
      </c>
    </row>
    <row r="2" spans="1:8" x14ac:dyDescent="0.2">
      <c r="A2" t="s">
        <v>17</v>
      </c>
      <c r="B2" t="s">
        <v>392</v>
      </c>
      <c r="D2" s="4">
        <f ca="1">[1]!SCBAM_PreviousBusinessDay(TODAY())</f>
        <v>43381</v>
      </c>
    </row>
    <row r="3" spans="1:8" x14ac:dyDescent="0.2">
      <c r="A3" t="s">
        <v>142</v>
      </c>
    </row>
    <row r="4" spans="1:8" x14ac:dyDescent="0.2">
      <c r="A4" t="s">
        <v>143</v>
      </c>
    </row>
    <row r="5" spans="1:8" x14ac:dyDescent="0.2">
      <c r="A5" t="s">
        <v>144</v>
      </c>
      <c r="B5" t="s">
        <v>394</v>
      </c>
      <c r="D5" t="s">
        <v>393</v>
      </c>
      <c r="H5" s="6"/>
    </row>
    <row r="6" spans="1:8" x14ac:dyDescent="0.2">
      <c r="A6" t="s">
        <v>385</v>
      </c>
      <c r="D6" t="s">
        <v>395</v>
      </c>
    </row>
    <row r="7" spans="1:8" x14ac:dyDescent="0.2">
      <c r="A7" t="s">
        <v>386</v>
      </c>
      <c r="D7" s="5"/>
    </row>
    <row r="8" spans="1:8" x14ac:dyDescent="0.2">
      <c r="A8" t="s">
        <v>387</v>
      </c>
      <c r="C8" s="5"/>
    </row>
    <row r="9" spans="1:8" x14ac:dyDescent="0.2">
      <c r="A9" t="s">
        <v>383</v>
      </c>
      <c r="C9" s="5"/>
    </row>
    <row r="10" spans="1:8" x14ac:dyDescent="0.2">
      <c r="A10" t="s">
        <v>384</v>
      </c>
      <c r="C10" s="5"/>
    </row>
    <row r="11" spans="1:8" x14ac:dyDescent="0.2">
      <c r="A11" t="s">
        <v>382</v>
      </c>
      <c r="C11" s="5"/>
    </row>
    <row r="12" spans="1:8" x14ac:dyDescent="0.2">
      <c r="C12" s="5"/>
    </row>
    <row r="13" spans="1:8" x14ac:dyDescent="0.2">
      <c r="C13" s="5"/>
    </row>
    <row r="14" spans="1:8" x14ac:dyDescent="0.2">
      <c r="C14" s="5"/>
    </row>
    <row r="15" spans="1:8" x14ac:dyDescent="0.2">
      <c r="C15" s="5"/>
    </row>
    <row r="16" spans="1:8" x14ac:dyDescent="0.2">
      <c r="C16" s="5"/>
    </row>
    <row r="17" spans="3:3" x14ac:dyDescent="0.2">
      <c r="C17" s="5"/>
    </row>
    <row r="18" spans="3:3" x14ac:dyDescent="0.2">
      <c r="C18" s="5"/>
    </row>
    <row r="19" spans="3:3" x14ac:dyDescent="0.2">
      <c r="C19" s="5"/>
    </row>
    <row r="20" spans="3:3" x14ac:dyDescent="0.2">
      <c r="C20" s="5"/>
    </row>
    <row r="21" spans="3:3" x14ac:dyDescent="0.2">
      <c r="C21" s="5"/>
    </row>
    <row r="22" spans="3:3" x14ac:dyDescent="0.2">
      <c r="C22" s="5"/>
    </row>
    <row r="23" spans="3:3" x14ac:dyDescent="0.2">
      <c r="C23" s="5"/>
    </row>
    <row r="24" spans="3:3" x14ac:dyDescent="0.2">
      <c r="C24" s="5"/>
    </row>
    <row r="25" spans="3:3" x14ac:dyDescent="0.2">
      <c r="C25" s="5"/>
    </row>
    <row r="26" spans="3:3" x14ac:dyDescent="0.2">
      <c r="C26" s="5"/>
    </row>
    <row r="27" spans="3:3" x14ac:dyDescent="0.2">
      <c r="C27" s="5"/>
    </row>
    <row r="28" spans="3:3" x14ac:dyDescent="0.2">
      <c r="C28" s="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1FFF-7143-4210-8513-B4332E8CF333}">
  <sheetPr codeName="Sheet6"/>
  <dimension ref="A1:Q841"/>
  <sheetViews>
    <sheetView zoomScale="85" zoomScaleNormal="85" workbookViewId="0">
      <selection activeCell="D48" sqref="D48"/>
    </sheetView>
  </sheetViews>
  <sheetFormatPr defaultRowHeight="14.25" x14ac:dyDescent="0.2"/>
  <cols>
    <col min="1" max="1" width="12" customWidth="1"/>
    <col min="3" max="3" width="12.125" style="2" customWidth="1"/>
    <col min="5" max="5" width="14.5" customWidth="1"/>
    <col min="6" max="6" width="19.875" customWidth="1"/>
    <col min="9" max="9" width="26.25" customWidth="1"/>
    <col min="10" max="10" width="16" customWidth="1"/>
    <col min="11" max="11" width="14.125" customWidth="1"/>
    <col min="12" max="12" width="17.5" customWidth="1"/>
    <col min="13" max="13" width="24.5" customWidth="1"/>
    <col min="14" max="14" width="18.125" customWidth="1"/>
    <col min="15" max="15" width="24.625" customWidth="1"/>
    <col min="16" max="16" width="24.75" customWidth="1"/>
  </cols>
  <sheetData>
    <row r="1" spans="1:16" x14ac:dyDescent="0.2">
      <c r="A1" t="s">
        <v>321</v>
      </c>
      <c r="B1" t="s">
        <v>444</v>
      </c>
      <c r="C1" s="2" t="s">
        <v>433</v>
      </c>
      <c r="D1" t="s">
        <v>434</v>
      </c>
      <c r="E1" t="s">
        <v>435</v>
      </c>
      <c r="F1" t="s">
        <v>436</v>
      </c>
      <c r="G1" t="s">
        <v>437</v>
      </c>
      <c r="H1" t="s">
        <v>438</v>
      </c>
      <c r="I1" t="s">
        <v>442</v>
      </c>
    </row>
    <row r="2" spans="1:16" x14ac:dyDescent="0.2">
      <c r="A2" t="s">
        <v>445</v>
      </c>
      <c r="B2" t="s">
        <v>23</v>
      </c>
      <c r="C2" s="50">
        <v>43382</v>
      </c>
      <c r="D2" t="s">
        <v>446</v>
      </c>
      <c r="E2">
        <v>6031.92</v>
      </c>
      <c r="F2" t="s">
        <v>377</v>
      </c>
      <c r="G2" t="s">
        <v>447</v>
      </c>
      <c r="H2">
        <v>181009160103</v>
      </c>
      <c r="I2" t="str">
        <f>CashIntraTable[Portfolio]&amp;VALUE(CashIntraTable[Cash Date])&amp;CashIntraTable[Detail]</f>
        <v>๏ปฟSCB2566433821.1. Subscription</v>
      </c>
      <c r="K2" s="48">
        <v>43383</v>
      </c>
      <c r="L2" s="31" t="s">
        <v>377</v>
      </c>
      <c r="M2" s="31" t="s">
        <v>378</v>
      </c>
      <c r="N2" s="31" t="s">
        <v>379</v>
      </c>
      <c r="O2" s="31" t="s">
        <v>380</v>
      </c>
      <c r="P2" s="31" t="s">
        <v>381</v>
      </c>
    </row>
    <row r="3" spans="1:16" x14ac:dyDescent="0.2">
      <c r="A3" t="s">
        <v>448</v>
      </c>
      <c r="B3" t="s">
        <v>23</v>
      </c>
      <c r="C3" s="50">
        <v>43383</v>
      </c>
      <c r="D3" t="s">
        <v>446</v>
      </c>
      <c r="E3">
        <v>30000</v>
      </c>
      <c r="F3" t="s">
        <v>377</v>
      </c>
      <c r="G3" t="s">
        <v>447</v>
      </c>
      <c r="H3">
        <v>181009160103</v>
      </c>
      <c r="I3" t="str">
        <f>CashIntraTable[Portfolio]&amp;VALUE(CashIntraTable[Cash Date])&amp;CashIntraTable[Detail]</f>
        <v>SCB2566433831.1. Subscription</v>
      </c>
      <c r="K3" s="32" t="str">
        <f t="array" ref="K3:K12">Main!$A$2:$A$11</f>
        <v>SCBSFF</v>
      </c>
      <c r="L3" s="33">
        <f>IFERROR(INDEX(CashIntraTable[Amount],MATCH($K3&amp;$K$2&amp;L$2,CashIntraTable[RefRng],0)),0)</f>
        <v>72067303.459999993</v>
      </c>
      <c r="M3" s="33">
        <f>IFERROR(INDEX(CashIntraTable[Amount],MATCH($K3&amp;$K$2&amp;M$2,CashIntraTable[RefRng],0)),0)</f>
        <v>17405878.710000001</v>
      </c>
      <c r="N3" s="33">
        <f>IFERROR(INDEX(CashIntraTable[Amount],MATCH($K3&amp;$K$2&amp;N$2,CashIntraTable[RefRng],0)),0)</f>
        <v>-195849263.49000001</v>
      </c>
      <c r="O3" s="33">
        <f>IFERROR(INDEX(CashIntraTable[Amount],MATCH($K3&amp;$K$2&amp;O$2,CashIntraTable[RefRng],0)),0)</f>
        <v>-261306959.31999999</v>
      </c>
      <c r="P3" s="33">
        <f>IFERROR(INDEX(CashIntraTable[Amount],MATCH($K3&amp;$K$2&amp;P$2,CashIntraTable[RefRng],0)),0)</f>
        <v>15100000</v>
      </c>
    </row>
    <row r="4" spans="1:16" x14ac:dyDescent="0.2">
      <c r="A4" t="s">
        <v>448</v>
      </c>
      <c r="B4" t="s">
        <v>23</v>
      </c>
      <c r="C4" s="50">
        <v>43382</v>
      </c>
      <c r="D4" t="s">
        <v>446</v>
      </c>
      <c r="E4">
        <v>3500</v>
      </c>
      <c r="F4" t="s">
        <v>378</v>
      </c>
      <c r="G4" t="s">
        <v>447</v>
      </c>
      <c r="H4">
        <v>181009160103</v>
      </c>
      <c r="I4" t="str">
        <f>CashIntraTable[Portfolio]&amp;VALUE(CashIntraTable[Cash Date])&amp;CashIntraTable[Detail]</f>
        <v>SCB2566433821.2. Switch-in</v>
      </c>
      <c r="K4" s="32" t="str">
        <v>SCBSFFPLUS</v>
      </c>
      <c r="L4" s="33">
        <f>IFERROR(INDEX(CashIntraTable[Amount],MATCH($K4&amp;$K$2&amp;L$2,CashIntraTable[RefRng],0)),0)</f>
        <v>317496396.74000001</v>
      </c>
      <c r="M4" s="33">
        <f>IFERROR(INDEX(CashIntraTable[Amount],MATCH($K4&amp;$K$2&amp;M$2,CashIntraTable[RefRng],0)),0)</f>
        <v>116239167.38</v>
      </c>
      <c r="N4" s="33">
        <f>IFERROR(INDEX(CashIntraTable[Amount],MATCH($K4&amp;$K$2&amp;N$2,CashIntraTable[RefRng],0)),0)</f>
        <v>-892716817.12</v>
      </c>
      <c r="O4" s="33">
        <f>IFERROR(INDEX(CashIntraTable[Amount],MATCH($K4&amp;$K$2&amp;O$2,CashIntraTable[RefRng],0)),0)</f>
        <v>-193601544.80000001</v>
      </c>
      <c r="P4" s="33">
        <f>IFERROR(INDEX(CashIntraTable[Amount],MATCH($K4&amp;$K$2&amp;P$2,CashIntraTable[RefRng],0)),0)</f>
        <v>70798500</v>
      </c>
    </row>
    <row r="5" spans="1:16" x14ac:dyDescent="0.2">
      <c r="A5" t="s">
        <v>448</v>
      </c>
      <c r="B5" t="s">
        <v>23</v>
      </c>
      <c r="C5" s="50">
        <v>43383</v>
      </c>
      <c r="D5" t="s">
        <v>446</v>
      </c>
      <c r="E5">
        <v>821.93</v>
      </c>
      <c r="F5" t="s">
        <v>378</v>
      </c>
      <c r="G5" t="s">
        <v>447</v>
      </c>
      <c r="H5">
        <v>181009160103</v>
      </c>
      <c r="I5" t="str">
        <f>CashIntraTable[Portfolio]&amp;VALUE(CashIntraTable[Cash Date])&amp;CashIntraTable[Detail]</f>
        <v>SCB2566433831.2. Switch-in</v>
      </c>
      <c r="K5" s="32" t="str">
        <v>SCBTMF</v>
      </c>
      <c r="L5" s="33">
        <f>IFERROR(INDEX(CashIntraTable[Amount],MATCH($K5&amp;$K$2&amp;L$2,CashIntraTable[RefRng],0)),0)</f>
        <v>8226709.5599999996</v>
      </c>
      <c r="M5" s="33">
        <f>IFERROR(INDEX(CashIntraTable[Amount],MATCH($K5&amp;$K$2&amp;M$2,CashIntraTable[RefRng],0)),0)</f>
        <v>364437.38</v>
      </c>
      <c r="N5" s="33">
        <f>IFERROR(INDEX(CashIntraTable[Amount],MATCH($K5&amp;$K$2&amp;N$2,CashIntraTable[RefRng],0)),0)</f>
        <v>-20415637.039999999</v>
      </c>
      <c r="O5" s="33">
        <f>IFERROR(INDEX(CashIntraTable[Amount],MATCH($K5&amp;$K$2&amp;O$2,CashIntraTable[RefRng],0)),0)</f>
        <v>-813242.48</v>
      </c>
      <c r="P5" s="33">
        <f>IFERROR(INDEX(CashIntraTable[Amount],MATCH($K5&amp;$K$2&amp;P$2,CashIntraTable[RefRng],0)),0)</f>
        <v>0</v>
      </c>
    </row>
    <row r="6" spans="1:16" x14ac:dyDescent="0.2">
      <c r="A6" t="s">
        <v>448</v>
      </c>
      <c r="B6" t="s">
        <v>23</v>
      </c>
      <c r="C6" s="50">
        <v>43385</v>
      </c>
      <c r="D6" t="s">
        <v>446</v>
      </c>
      <c r="E6">
        <v>1051.05</v>
      </c>
      <c r="F6" t="s">
        <v>378</v>
      </c>
      <c r="G6" t="s">
        <v>447</v>
      </c>
      <c r="H6">
        <v>181009160103</v>
      </c>
      <c r="I6" t="str">
        <f>CashIntraTable[Portfolio]&amp;VALUE(CashIntraTable[Cash Date])&amp;CashIntraTable[Detail]</f>
        <v>SCB2566433851.2. Switch-in</v>
      </c>
      <c r="K6" s="32" t="str">
        <v>SCBTMFPLUS</v>
      </c>
      <c r="L6" s="33">
        <f>IFERROR(INDEX(CashIntraTable[Amount],MATCH($K6&amp;$K$2&amp;L$2,CashIntraTable[RefRng],0)),0)</f>
        <v>12260267.41</v>
      </c>
      <c r="M6" s="33">
        <f>IFERROR(INDEX(CashIntraTable[Amount],MATCH($K6&amp;$K$2&amp;M$2,CashIntraTable[RefRng],0)),0)</f>
        <v>1931657.21</v>
      </c>
      <c r="N6" s="33">
        <f>IFERROR(INDEX(CashIntraTable[Amount],MATCH($K6&amp;$K$2&amp;N$2,CashIntraTable[RefRng],0)),0)</f>
        <v>-50645120.630000003</v>
      </c>
      <c r="O6" s="33">
        <f>IFERROR(INDEX(CashIntraTable[Amount],MATCH($K6&amp;$K$2&amp;O$2,CashIntraTable[RefRng],0)),0)</f>
        <v>-201000</v>
      </c>
      <c r="P6" s="33">
        <f>IFERROR(INDEX(CashIntraTable[Amount],MATCH($K6&amp;$K$2&amp;P$2,CashIntraTable[RefRng],0)),0)</f>
        <v>0</v>
      </c>
    </row>
    <row r="7" spans="1:16" x14ac:dyDescent="0.2">
      <c r="A7" t="s">
        <v>448</v>
      </c>
      <c r="B7" t="s">
        <v>23</v>
      </c>
      <c r="C7" s="50">
        <v>43382</v>
      </c>
      <c r="D7" t="s">
        <v>446</v>
      </c>
      <c r="E7">
        <v>-30791.11</v>
      </c>
      <c r="F7" t="s">
        <v>380</v>
      </c>
      <c r="G7" t="s">
        <v>447</v>
      </c>
      <c r="H7">
        <v>181009160103</v>
      </c>
      <c r="I7" t="str">
        <f>CashIntraTable[Portfolio]&amp;VALUE(CashIntraTable[Cash Date])&amp;CashIntraTable[Detail]</f>
        <v>SCB2566433822.2. Switch-out</v>
      </c>
      <c r="K7" s="32" t="str">
        <v>SCBRF</v>
      </c>
      <c r="L7" s="33">
        <f>IFERROR(INDEX(CashIntraTable[Amount],MATCH($K7&amp;$K$2&amp;L$2,CashIntraTable[RefRng],0)),0)</f>
        <v>100000</v>
      </c>
      <c r="M7" s="33">
        <f>IFERROR(INDEX(CashIntraTable[Amount],MATCH($K7&amp;$K$2&amp;M$2,CashIntraTable[RefRng],0)),0)</f>
        <v>0</v>
      </c>
      <c r="N7" s="33">
        <f>IFERROR(INDEX(CashIntraTable[Amount],MATCH($K7&amp;$K$2&amp;N$2,CashIntraTable[RefRng],0)),0)</f>
        <v>0</v>
      </c>
      <c r="O7" s="33">
        <f>IFERROR(INDEX(CashIntraTable[Amount],MATCH($K7&amp;$K$2&amp;O$2,CashIntraTable[RefRng],0)),0)</f>
        <v>0</v>
      </c>
      <c r="P7" s="33">
        <f>IFERROR(INDEX(CashIntraTable[Amount],MATCH($K7&amp;$K$2&amp;P$2,CashIntraTable[RefRng],0)),0)</f>
        <v>0</v>
      </c>
    </row>
    <row r="8" spans="1:16" x14ac:dyDescent="0.2">
      <c r="A8" t="s">
        <v>448</v>
      </c>
      <c r="B8" t="s">
        <v>23</v>
      </c>
      <c r="C8" s="50">
        <v>43385</v>
      </c>
      <c r="D8" t="s">
        <v>446</v>
      </c>
      <c r="E8">
        <v>-985.72</v>
      </c>
      <c r="F8" t="s">
        <v>380</v>
      </c>
      <c r="G8" t="s">
        <v>447</v>
      </c>
      <c r="H8">
        <v>181009160103</v>
      </c>
      <c r="I8" t="str">
        <f>CashIntraTable[Portfolio]&amp;VALUE(CashIntraTable[Cash Date])&amp;CashIntraTable[Detail]</f>
        <v>SCB2566433852.2. Switch-out</v>
      </c>
      <c r="K8" s="32" t="str">
        <v>SCBRM1</v>
      </c>
      <c r="L8" s="33">
        <f>IFERROR(INDEX(CashIntraTable[Amount],MATCH($K8&amp;$K$2&amp;L$2,CashIntraTable[RefRng],0)),0)</f>
        <v>2117000</v>
      </c>
      <c r="M8" s="33">
        <f>IFERROR(INDEX(CashIntraTable[Amount],MATCH($K8&amp;$K$2&amp;M$2,CashIntraTable[RefRng],0)),0)</f>
        <v>13926669.27</v>
      </c>
      <c r="N8" s="33">
        <f>IFERROR(INDEX(CashIntraTable[Amount],MATCH($K8&amp;$K$2&amp;N$2,CashIntraTable[RefRng],0)),0)</f>
        <v>-5391707.8700000001</v>
      </c>
      <c r="O8" s="33">
        <f>IFERROR(INDEX(CashIntraTable[Amount],MATCH($K8&amp;$K$2&amp;O$2,CashIntraTable[RefRng],0)),0)</f>
        <v>-17719807.190000001</v>
      </c>
      <c r="P8" s="33">
        <f>IFERROR(INDEX(CashIntraTable[Amount],MATCH($K8&amp;$K$2&amp;P$2,CashIntraTable[RefRng],0)),0)</f>
        <v>2615500</v>
      </c>
    </row>
    <row r="9" spans="1:16" x14ac:dyDescent="0.2">
      <c r="A9" t="s">
        <v>449</v>
      </c>
      <c r="B9" t="s">
        <v>23</v>
      </c>
      <c r="C9" s="50">
        <v>43382</v>
      </c>
      <c r="D9" t="s">
        <v>446</v>
      </c>
      <c r="E9">
        <v>1005.31</v>
      </c>
      <c r="F9" t="s">
        <v>377</v>
      </c>
      <c r="G9" t="s">
        <v>447</v>
      </c>
      <c r="H9">
        <v>181009160103</v>
      </c>
      <c r="I9" t="str">
        <f>CashIntraTable[Portfolio]&amp;VALUE(CashIntraTable[Cash Date])&amp;CashIntraTable[Detail]</f>
        <v>SCB2576433821.1. Subscription</v>
      </c>
      <c r="K9" s="32" t="str">
        <v>SCBRM2</v>
      </c>
      <c r="L9" s="33">
        <f>IFERROR(INDEX(CashIntraTable[Amount],MATCH($K9&amp;$K$2&amp;L$2,CashIntraTable[RefRng],0)),0)</f>
        <v>1951000</v>
      </c>
      <c r="M9" s="33">
        <f>IFERROR(INDEX(CashIntraTable[Amount],MATCH($K9&amp;$K$2&amp;M$2,CashIntraTable[RefRng],0)),0)</f>
        <v>887778.5</v>
      </c>
      <c r="N9" s="33">
        <f>IFERROR(INDEX(CashIntraTable[Amount],MATCH($K9&amp;$K$2&amp;N$2,CashIntraTable[RefRng],0)),0)</f>
        <v>-455292.3</v>
      </c>
      <c r="O9" s="33">
        <f>IFERROR(INDEX(CashIntraTable[Amount],MATCH($K9&amp;$K$2&amp;O$2,CashIntraTable[RefRng],0)),0)</f>
        <v>-5807299.1500000004</v>
      </c>
      <c r="P9" s="33">
        <f>IFERROR(INDEX(CashIntraTable[Amount],MATCH($K9&amp;$K$2&amp;P$2,CashIntraTable[RefRng],0)),0)</f>
        <v>1225000</v>
      </c>
    </row>
    <row r="10" spans="1:16" x14ac:dyDescent="0.2">
      <c r="A10" t="s">
        <v>449</v>
      </c>
      <c r="B10" t="s">
        <v>23</v>
      </c>
      <c r="C10" s="50">
        <v>43383</v>
      </c>
      <c r="D10" t="s">
        <v>446</v>
      </c>
      <c r="E10">
        <v>7000</v>
      </c>
      <c r="F10" t="s">
        <v>377</v>
      </c>
      <c r="G10" t="s">
        <v>447</v>
      </c>
      <c r="H10">
        <v>181009160103</v>
      </c>
      <c r="I10" t="str">
        <f>CashIntraTable[Portfolio]&amp;VALUE(CashIntraTable[Cash Date])&amp;CashIntraTable[Detail]</f>
        <v>SCB2576433831.1. Subscription</v>
      </c>
      <c r="K10" s="32" t="str">
        <v>SCBFPFUND</v>
      </c>
      <c r="L10" s="33">
        <f>IFERROR(INDEX(CashIntraTable[Amount],MATCH($K10&amp;$K$2&amp;L$2,CashIntraTable[RefRng],0)),0)</f>
        <v>21081516.309999999</v>
      </c>
      <c r="M10" s="33">
        <f>IFERROR(INDEX(CashIntraTable[Amount],MATCH($K10&amp;$K$2&amp;M$2,CashIntraTable[RefRng],0)),0)</f>
        <v>39080.980000000003</v>
      </c>
      <c r="N10" s="33">
        <f>IFERROR(INDEX(CashIntraTable[Amount],MATCH($K10&amp;$K$2&amp;N$2,CashIntraTable[RefRng],0)),0)</f>
        <v>-35934639.030000001</v>
      </c>
      <c r="O10" s="33">
        <f>IFERROR(INDEX(CashIntraTable[Amount],MATCH($K10&amp;$K$2&amp;O$2,CashIntraTable[RefRng],0)),0)</f>
        <v>-29444340.420000002</v>
      </c>
      <c r="P10" s="33">
        <f>IFERROR(INDEX(CashIntraTable[Amount],MATCH($K10&amp;$K$2&amp;P$2,CashIntraTable[RefRng],0)),0)</f>
        <v>0</v>
      </c>
    </row>
    <row r="11" spans="1:16" x14ac:dyDescent="0.2">
      <c r="A11" t="s">
        <v>449</v>
      </c>
      <c r="B11" t="s">
        <v>23</v>
      </c>
      <c r="C11" s="50">
        <v>43382</v>
      </c>
      <c r="D11" t="s">
        <v>446</v>
      </c>
      <c r="E11">
        <v>3500</v>
      </c>
      <c r="F11" t="s">
        <v>378</v>
      </c>
      <c r="G11" t="s">
        <v>447</v>
      </c>
      <c r="H11">
        <v>181009160103</v>
      </c>
      <c r="I11" t="str">
        <f>CashIntraTable[Portfolio]&amp;VALUE(CashIntraTable[Cash Date])&amp;CashIntraTable[Detail]</f>
        <v>SCB2576433821.2. Switch-in</v>
      </c>
      <c r="K11" s="32" t="str">
        <v>SCBPLUS</v>
      </c>
      <c r="L11" s="33">
        <f>IFERROR(INDEX(CashIntraTable[Amount],MATCH($K11&amp;$K$2&amp;L$2,CashIntraTable[RefRng],0)),0)</f>
        <v>10969000</v>
      </c>
      <c r="M11" s="33">
        <f>IFERROR(INDEX(CashIntraTable[Amount],MATCH($K11&amp;$K$2&amp;M$2,CashIntraTable[RefRng],0)),0)</f>
        <v>21258192.859999999</v>
      </c>
      <c r="N11" s="33">
        <f>IFERROR(INDEX(CashIntraTable[Amount],MATCH($K11&amp;$K$2&amp;N$2,CashIntraTable[RefRng],0)),0)</f>
        <v>0</v>
      </c>
      <c r="O11" s="33">
        <f>IFERROR(INDEX(CashIntraTable[Amount],MATCH($K11&amp;$K$2&amp;O$2,CashIntraTable[RefRng],0)),0)</f>
        <v>0</v>
      </c>
      <c r="P11" s="33">
        <f>IFERROR(INDEX(CashIntraTable[Amount],MATCH($K11&amp;$K$2&amp;P$2,CashIntraTable[RefRng],0)),0)</f>
        <v>0</v>
      </c>
    </row>
    <row r="12" spans="1:16" x14ac:dyDescent="0.2">
      <c r="A12" t="s">
        <v>449</v>
      </c>
      <c r="B12" t="s">
        <v>23</v>
      </c>
      <c r="C12" s="50">
        <v>43384</v>
      </c>
      <c r="D12" t="s">
        <v>446</v>
      </c>
      <c r="E12">
        <v>-979.96</v>
      </c>
      <c r="F12" t="s">
        <v>379</v>
      </c>
      <c r="G12" t="s">
        <v>447</v>
      </c>
      <c r="H12">
        <v>181009160103</v>
      </c>
      <c r="I12" t="str">
        <f>CashIntraTable[Portfolio]&amp;VALUE(CashIntraTable[Cash Date])&amp;CashIntraTable[Detail]</f>
        <v>SCB2576433842.1. Redemption</v>
      </c>
      <c r="K12" s="32" t="str">
        <v>SCBFIXED</v>
      </c>
      <c r="L12" s="33">
        <f>IFERROR(INDEX(CashIntraTable[Amount],MATCH($K12&amp;$K$2&amp;L$2,CashIntraTable[RefRng],0)),0)</f>
        <v>623500</v>
      </c>
      <c r="M12" s="33">
        <f>IFERROR(INDEX(CashIntraTable[Amount],MATCH($K12&amp;$K$2&amp;M$2,CashIntraTable[RefRng],0)),0)</f>
        <v>10000</v>
      </c>
      <c r="N12" s="33">
        <f>IFERROR(INDEX(CashIntraTable[Amount],MATCH($K12&amp;$K$2&amp;N$2,CashIntraTable[RefRng],0)),0)</f>
        <v>-2114012.1600000001</v>
      </c>
      <c r="O12" s="33">
        <f>IFERROR(INDEX(CashIntraTable[Amount],MATCH($K12&amp;$K$2&amp;O$2,CashIntraTable[RefRng],0)),0)</f>
        <v>-2000.09</v>
      </c>
      <c r="P12" s="33">
        <f>IFERROR(INDEX(CashIntraTable[Amount],MATCH($K12&amp;$K$2&amp;P$2,CashIntraTable[RefRng],0)),0)</f>
        <v>0</v>
      </c>
    </row>
    <row r="13" spans="1:16" x14ac:dyDescent="0.2">
      <c r="A13" t="s">
        <v>449</v>
      </c>
      <c r="B13" t="s">
        <v>23</v>
      </c>
      <c r="C13" s="50">
        <v>43382</v>
      </c>
      <c r="D13" t="s">
        <v>446</v>
      </c>
      <c r="E13">
        <v>-10188.18</v>
      </c>
      <c r="F13" t="s">
        <v>380</v>
      </c>
      <c r="G13" t="s">
        <v>447</v>
      </c>
      <c r="H13">
        <v>181009160103</v>
      </c>
      <c r="I13" t="str">
        <f>CashIntraTable[Portfolio]&amp;VALUE(CashIntraTable[Cash Date])&amp;CashIntraTable[Detail]</f>
        <v>SCB2576433822.2. Switch-out</v>
      </c>
      <c r="K13" s="48">
        <v>43391</v>
      </c>
      <c r="L13" s="31" t="s">
        <v>377</v>
      </c>
      <c r="M13" s="31" t="s">
        <v>378</v>
      </c>
      <c r="N13" s="31" t="s">
        <v>379</v>
      </c>
      <c r="O13" s="31" t="s">
        <v>380</v>
      </c>
      <c r="P13" s="31" t="s">
        <v>381</v>
      </c>
    </row>
    <row r="14" spans="1:16" x14ac:dyDescent="0.2">
      <c r="A14" t="s">
        <v>449</v>
      </c>
      <c r="B14" t="s">
        <v>23</v>
      </c>
      <c r="C14" s="50">
        <v>43384</v>
      </c>
      <c r="D14" t="s">
        <v>446</v>
      </c>
      <c r="E14">
        <v>-12957.27</v>
      </c>
      <c r="F14" t="s">
        <v>380</v>
      </c>
      <c r="G14" t="s">
        <v>447</v>
      </c>
      <c r="H14">
        <v>181009160103</v>
      </c>
      <c r="I14" t="str">
        <f>CashIntraTable[Portfolio]&amp;VALUE(CashIntraTable[Cash Date])&amp;CashIntraTable[Detail]</f>
        <v>SCB2576433842.2. Switch-out</v>
      </c>
      <c r="K14" s="32" t="str">
        <f t="array" ref="K14:K23">Main!$A$2:$A$11</f>
        <v>SCBSFF</v>
      </c>
      <c r="L14" s="33">
        <f>IFERROR(INDEX(CashIntraTable[Amount],MATCH($K14&amp;$K$13&amp;L$2,CashIntraTable[RefRng],0)),0)</f>
        <v>0</v>
      </c>
      <c r="M14" s="33">
        <f>IFERROR(INDEX(CashIntraTable[Amount],MATCH($K14&amp;$K$13&amp;M$2,CashIntraTable[RefRng],0)),0)</f>
        <v>256033.95</v>
      </c>
      <c r="N14" s="33">
        <f>IFERROR(INDEX(CashIntraTable[Amount],MATCH($K14&amp;$K$13&amp;N$2,CashIntraTable[RefRng],0)),0)</f>
        <v>0</v>
      </c>
      <c r="O14" s="33">
        <f>IFERROR(INDEX(CashIntraTable[Amount],MATCH($K14&amp;$K$13&amp;O$2,CashIntraTable[RefRng],0)),0)</f>
        <v>0</v>
      </c>
      <c r="P14" s="33">
        <f>IFERROR(INDEX(CashIntraTable[Amount],MATCH($K14&amp;$K$13&amp;P$2,CashIntraTable[RefRng],0)),0)</f>
        <v>0</v>
      </c>
    </row>
    <row r="15" spans="1:16" x14ac:dyDescent="0.2">
      <c r="A15" t="s">
        <v>449</v>
      </c>
      <c r="B15" t="s">
        <v>23</v>
      </c>
      <c r="C15" s="50">
        <v>43385</v>
      </c>
      <c r="D15" t="s">
        <v>446</v>
      </c>
      <c r="E15">
        <v>-49892.98</v>
      </c>
      <c r="F15" t="s">
        <v>380</v>
      </c>
      <c r="G15" t="s">
        <v>447</v>
      </c>
      <c r="H15">
        <v>181009160103</v>
      </c>
      <c r="I15" t="str">
        <f>CashIntraTable[Portfolio]&amp;VALUE(CashIntraTable[Cash Date])&amp;CashIntraTable[Detail]</f>
        <v>SCB2576433852.2. Switch-out</v>
      </c>
      <c r="K15" s="32" t="str">
        <v>SCBSFFPLUS</v>
      </c>
      <c r="L15" s="33">
        <f>IFERROR(INDEX(CashIntraTable[Amount],MATCH($K15&amp;$K$13&amp;L$2,CashIntraTable[RefRng],0)),0)</f>
        <v>0</v>
      </c>
      <c r="M15" s="33">
        <f>IFERROR(INDEX(CashIntraTable[Amount],MATCH($K15&amp;$K$13&amp;M$2,CashIntraTable[RefRng],0)),0)</f>
        <v>23790.48</v>
      </c>
      <c r="N15" s="33">
        <f>IFERROR(INDEX(CashIntraTable[Amount],MATCH($K15&amp;$K$13&amp;N$2,CashIntraTable[RefRng],0)),0)</f>
        <v>0</v>
      </c>
      <c r="O15" s="33">
        <f>IFERROR(INDEX(CashIntraTable[Amount],MATCH($K15&amp;$K$13&amp;O$2,CashIntraTable[RefRng],0)),0)</f>
        <v>0</v>
      </c>
      <c r="P15" s="33">
        <f>IFERROR(INDEX(CashIntraTable[Amount],MATCH($K15&amp;$K$13&amp;P$2,CashIntraTable[RefRng],0)),0)</f>
        <v>0</v>
      </c>
    </row>
    <row r="16" spans="1:16" x14ac:dyDescent="0.2">
      <c r="A16" t="s">
        <v>450</v>
      </c>
      <c r="B16" t="s">
        <v>23</v>
      </c>
      <c r="C16" s="50">
        <v>43383</v>
      </c>
      <c r="D16" t="s">
        <v>446</v>
      </c>
      <c r="E16">
        <v>2000</v>
      </c>
      <c r="F16" t="s">
        <v>377</v>
      </c>
      <c r="G16" t="s">
        <v>447</v>
      </c>
      <c r="H16">
        <v>181009160103</v>
      </c>
      <c r="I16" t="str">
        <f>CashIntraTable[Portfolio]&amp;VALUE(CashIntraTable[Cash Date])&amp;CashIntraTable[Detail]</f>
        <v>SCB2586433831.1. Subscription</v>
      </c>
      <c r="K16" s="32" t="str">
        <v>SCBTMF</v>
      </c>
      <c r="L16" s="33">
        <f>IFERROR(INDEX(CashIntraTable[Amount],MATCH($K16&amp;$K$13&amp;L$2,CashIntraTable[RefRng],0)),0)</f>
        <v>0</v>
      </c>
      <c r="M16" s="33">
        <f>IFERROR(INDEX(CashIntraTable[Amount],MATCH($K16&amp;$K$13&amp;M$2,CashIntraTable[RefRng],0)),0)</f>
        <v>0</v>
      </c>
      <c r="N16" s="33">
        <f>IFERROR(INDEX(CashIntraTable[Amount],MATCH($K16&amp;$K$13&amp;N$2,CashIntraTable[RefRng],0)),0)</f>
        <v>0</v>
      </c>
      <c r="O16" s="33">
        <f>IFERROR(INDEX(CashIntraTable[Amount],MATCH($K16&amp;$K$13&amp;O$2,CashIntraTable[RefRng],0)),0)</f>
        <v>0</v>
      </c>
      <c r="P16" s="33">
        <f>IFERROR(INDEX(CashIntraTable[Amount],MATCH($K16&amp;$K$13&amp;P$2,CashIntraTable[RefRng],0)),0)</f>
        <v>0</v>
      </c>
    </row>
    <row r="17" spans="1:16" x14ac:dyDescent="0.2">
      <c r="A17" t="s">
        <v>450</v>
      </c>
      <c r="B17" t="s">
        <v>23</v>
      </c>
      <c r="C17" s="50">
        <v>43382</v>
      </c>
      <c r="D17" t="s">
        <v>446</v>
      </c>
      <c r="E17">
        <v>3500</v>
      </c>
      <c r="F17" t="s">
        <v>378</v>
      </c>
      <c r="G17" t="s">
        <v>447</v>
      </c>
      <c r="H17">
        <v>181009160103</v>
      </c>
      <c r="I17" t="str">
        <f>CashIntraTable[Portfolio]&amp;VALUE(CashIntraTable[Cash Date])&amp;CashIntraTable[Detail]</f>
        <v>SCB2586433821.2. Switch-in</v>
      </c>
      <c r="K17" s="32" t="str">
        <v>SCBTMFPLUS</v>
      </c>
      <c r="L17" s="33">
        <f>IFERROR(INDEX(CashIntraTable[Amount],MATCH($K17&amp;$K$13&amp;L$2,CashIntraTable[RefRng],0)),0)</f>
        <v>0</v>
      </c>
      <c r="M17" s="33">
        <f>IFERROR(INDEX(CashIntraTable[Amount],MATCH($K17&amp;$K$13&amp;M$2,CashIntraTable[RefRng],0)),0)</f>
        <v>0</v>
      </c>
      <c r="N17" s="33">
        <f>IFERROR(INDEX(CashIntraTable[Amount],MATCH($K17&amp;$K$13&amp;N$2,CashIntraTable[RefRng],0)),0)</f>
        <v>0</v>
      </c>
      <c r="O17" s="33">
        <f>IFERROR(INDEX(CashIntraTable[Amount],MATCH($K17&amp;$K$13&amp;O$2,CashIntraTable[RefRng],0)),0)</f>
        <v>0</v>
      </c>
      <c r="P17" s="33">
        <f>IFERROR(INDEX(CashIntraTable[Amount],MATCH($K17&amp;$K$13&amp;P$2,CashIntraTable[RefRng],0)),0)</f>
        <v>0</v>
      </c>
    </row>
    <row r="18" spans="1:16" x14ac:dyDescent="0.2">
      <c r="A18" t="s">
        <v>450</v>
      </c>
      <c r="B18" t="s">
        <v>23</v>
      </c>
      <c r="C18" s="50">
        <v>43383</v>
      </c>
      <c r="D18" t="s">
        <v>446</v>
      </c>
      <c r="E18">
        <v>-390971.62</v>
      </c>
      <c r="F18" t="s">
        <v>379</v>
      </c>
      <c r="G18" t="s">
        <v>447</v>
      </c>
      <c r="H18">
        <v>181009160103</v>
      </c>
      <c r="I18" t="str">
        <f>CashIntraTable[Portfolio]&amp;VALUE(CashIntraTable[Cash Date])&amp;CashIntraTable[Detail]</f>
        <v>SCB2586433832.1. Redemption</v>
      </c>
      <c r="K18" s="32" t="str">
        <v>SCBRF</v>
      </c>
      <c r="L18" s="33">
        <f>IFERROR(INDEX(CashIntraTable[Amount],MATCH($K18&amp;$K$13&amp;L$2,CashIntraTable[RefRng],0)),0)</f>
        <v>0</v>
      </c>
      <c r="M18" s="33">
        <f>IFERROR(INDEX(CashIntraTable[Amount],MATCH($K18&amp;$K$13&amp;M$2,CashIntraTable[RefRng],0)),0)</f>
        <v>0</v>
      </c>
      <c r="N18" s="33">
        <f>IFERROR(INDEX(CashIntraTable[Amount],MATCH($K18&amp;$K$13&amp;N$2,CashIntraTable[RefRng],0)),0)</f>
        <v>0</v>
      </c>
      <c r="O18" s="33">
        <f>IFERROR(INDEX(CashIntraTable[Amount],MATCH($K18&amp;$K$13&amp;O$2,CashIntraTable[RefRng],0)),0)</f>
        <v>0</v>
      </c>
      <c r="P18" s="33">
        <f>IFERROR(INDEX(CashIntraTable[Amount],MATCH($K18&amp;$K$13&amp;P$2,CashIntraTable[RefRng],0)),0)</f>
        <v>0</v>
      </c>
    </row>
    <row r="19" spans="1:16" x14ac:dyDescent="0.2">
      <c r="A19" t="s">
        <v>451</v>
      </c>
      <c r="B19" t="s">
        <v>23</v>
      </c>
      <c r="C19" s="50">
        <v>43383</v>
      </c>
      <c r="D19" t="s">
        <v>446</v>
      </c>
      <c r="E19">
        <v>5000</v>
      </c>
      <c r="F19" t="s">
        <v>377</v>
      </c>
      <c r="G19" t="s">
        <v>447</v>
      </c>
      <c r="H19">
        <v>181009160103</v>
      </c>
      <c r="I19" t="str">
        <f>CashIntraTable[Portfolio]&amp;VALUE(CashIntraTable[Cash Date])&amp;CashIntraTable[Detail]</f>
        <v>SCBAEM433831.1. Subscription</v>
      </c>
      <c r="K19" s="32" t="str">
        <v>SCBRM1</v>
      </c>
      <c r="L19" s="33">
        <f>IFERROR(INDEX(CashIntraTable[Amount],MATCH($K19&amp;$K$13&amp;L$2,CashIntraTable[RefRng],0)),0)</f>
        <v>0</v>
      </c>
      <c r="M19" s="33">
        <f>IFERROR(INDEX(CashIntraTable[Amount],MATCH($K19&amp;$K$13&amp;M$2,CashIntraTable[RefRng],0)),0)</f>
        <v>0</v>
      </c>
      <c r="N19" s="33">
        <f>IFERROR(INDEX(CashIntraTable[Amount],MATCH($K19&amp;$K$13&amp;N$2,CashIntraTable[RefRng],0)),0)</f>
        <v>0</v>
      </c>
      <c r="O19" s="33">
        <f>IFERROR(INDEX(CashIntraTable[Amount],MATCH($K19&amp;$K$13&amp;O$2,CashIntraTable[RefRng],0)),0)</f>
        <v>0</v>
      </c>
      <c r="P19" s="33">
        <f>IFERROR(INDEX(CashIntraTable[Amount],MATCH($K19&amp;$K$13&amp;P$2,CashIntraTable[RefRng],0)),0)</f>
        <v>0</v>
      </c>
    </row>
    <row r="20" spans="1:16" x14ac:dyDescent="0.2">
      <c r="A20" t="s">
        <v>451</v>
      </c>
      <c r="B20" t="s">
        <v>23</v>
      </c>
      <c r="C20" s="50">
        <v>43383</v>
      </c>
      <c r="D20" t="s">
        <v>446</v>
      </c>
      <c r="E20">
        <v>465515.44</v>
      </c>
      <c r="F20" t="s">
        <v>378</v>
      </c>
      <c r="G20" t="s">
        <v>447</v>
      </c>
      <c r="H20">
        <v>181009160103</v>
      </c>
      <c r="I20" t="str">
        <f>CashIntraTable[Portfolio]&amp;VALUE(CashIntraTable[Cash Date])&amp;CashIntraTable[Detail]</f>
        <v>SCBAEM433831.2. Switch-in</v>
      </c>
      <c r="K20" s="32" t="str">
        <v>SCBRM2</v>
      </c>
      <c r="L20" s="33">
        <f>IFERROR(INDEX(CashIntraTable[Amount],MATCH($K20&amp;$K$13&amp;L$2,CashIntraTable[RefRng],0)),0)</f>
        <v>0</v>
      </c>
      <c r="M20" s="33">
        <f>IFERROR(INDEX(CashIntraTable[Amount],MATCH($K20&amp;$K$13&amp;M$2,CashIntraTable[RefRng],0)),0)</f>
        <v>10120.91</v>
      </c>
      <c r="N20" s="33">
        <f>IFERROR(INDEX(CashIntraTable[Amount],MATCH($K20&amp;$K$13&amp;N$2,CashIntraTable[RefRng],0)),0)</f>
        <v>0</v>
      </c>
      <c r="O20" s="33">
        <f>IFERROR(INDEX(CashIntraTable[Amount],MATCH($K20&amp;$K$13&amp;O$2,CashIntraTable[RefRng],0)),0)</f>
        <v>0</v>
      </c>
      <c r="P20" s="33">
        <f>IFERROR(INDEX(CashIntraTable[Amount],MATCH($K20&amp;$K$13&amp;P$2,CashIntraTable[RefRng],0)),0)</f>
        <v>0</v>
      </c>
    </row>
    <row r="21" spans="1:16" x14ac:dyDescent="0.2">
      <c r="A21" t="s">
        <v>451</v>
      </c>
      <c r="B21" t="s">
        <v>23</v>
      </c>
      <c r="C21" s="50">
        <v>43382</v>
      </c>
      <c r="D21" t="s">
        <v>446</v>
      </c>
      <c r="E21">
        <v>-1950429.3</v>
      </c>
      <c r="F21" t="s">
        <v>379</v>
      </c>
      <c r="G21" t="s">
        <v>447</v>
      </c>
      <c r="H21">
        <v>181009160103</v>
      </c>
      <c r="I21" t="str">
        <f>CashIntraTable[Portfolio]&amp;VALUE(CashIntraTable[Cash Date])&amp;CashIntraTable[Detail]</f>
        <v>SCBAEM433822.1. Redemption</v>
      </c>
      <c r="K21" s="32" t="str">
        <v>SCBFPFUND</v>
      </c>
      <c r="L21" s="33">
        <f>IFERROR(INDEX(CashIntraTable[Amount],MATCH($K21&amp;$K$13&amp;L$2,CashIntraTable[RefRng],0)),0)</f>
        <v>0</v>
      </c>
      <c r="M21" s="33">
        <f>IFERROR(INDEX(CashIntraTable[Amount],MATCH($K21&amp;$K$13&amp;M$2,CashIntraTable[RefRng],0)),0)</f>
        <v>0</v>
      </c>
      <c r="N21" s="33">
        <f>IFERROR(INDEX(CashIntraTable[Amount],MATCH($K21&amp;$K$13&amp;N$2,CashIntraTable[RefRng],0)),0)</f>
        <v>0</v>
      </c>
      <c r="O21" s="33">
        <f>IFERROR(INDEX(CashIntraTable[Amount],MATCH($K21&amp;$K$13&amp;O$2,CashIntraTable[RefRng],0)),0)</f>
        <v>0</v>
      </c>
      <c r="P21" s="33">
        <f>IFERROR(INDEX(CashIntraTable[Amount],MATCH($K21&amp;$K$13&amp;P$2,CashIntraTable[RefRng],0)),0)</f>
        <v>0</v>
      </c>
    </row>
    <row r="22" spans="1:16" x14ac:dyDescent="0.2">
      <c r="A22" t="s">
        <v>451</v>
      </c>
      <c r="B22" t="s">
        <v>23</v>
      </c>
      <c r="C22" s="50">
        <v>43383</v>
      </c>
      <c r="D22" t="s">
        <v>446</v>
      </c>
      <c r="E22">
        <v>-62968.52</v>
      </c>
      <c r="F22" t="s">
        <v>379</v>
      </c>
      <c r="G22" t="s">
        <v>447</v>
      </c>
      <c r="H22">
        <v>181009160103</v>
      </c>
      <c r="I22" t="str">
        <f>CashIntraTable[Portfolio]&amp;VALUE(CashIntraTable[Cash Date])&amp;CashIntraTable[Detail]</f>
        <v>SCBAEM433832.1. Redemption</v>
      </c>
      <c r="K22" s="32" t="str">
        <v>SCBPLUS</v>
      </c>
      <c r="L22" s="33">
        <f>IFERROR(INDEX(CashIntraTable[Amount],MATCH($K22&amp;$K$13&amp;L$2,CashIntraTable[RefRng],0)),0)</f>
        <v>0</v>
      </c>
      <c r="M22" s="33">
        <f>IFERROR(INDEX(CashIntraTable[Amount],MATCH($K22&amp;$K$13&amp;M$2,CashIntraTable[RefRng],0)),0)</f>
        <v>0</v>
      </c>
      <c r="N22" s="33">
        <f>IFERROR(INDEX(CashIntraTable[Amount],MATCH($K22&amp;$K$13&amp;N$2,CashIntraTable[RefRng],0)),0)</f>
        <v>0</v>
      </c>
      <c r="O22" s="33">
        <f>IFERROR(INDEX(CashIntraTable[Amount],MATCH($K22&amp;$K$13&amp;O$2,CashIntraTable[RefRng],0)),0)</f>
        <v>0</v>
      </c>
      <c r="P22" s="33">
        <f>IFERROR(INDEX(CashIntraTable[Amount],MATCH($K22&amp;$K$13&amp;P$2,CashIntraTable[RefRng],0)),0)</f>
        <v>0</v>
      </c>
    </row>
    <row r="23" spans="1:16" x14ac:dyDescent="0.2">
      <c r="A23" t="s">
        <v>451</v>
      </c>
      <c r="B23" t="s">
        <v>23</v>
      </c>
      <c r="C23" s="50">
        <v>43384</v>
      </c>
      <c r="D23" t="s">
        <v>446</v>
      </c>
      <c r="E23">
        <v>-24765.08</v>
      </c>
      <c r="F23" t="s">
        <v>379</v>
      </c>
      <c r="G23" t="s">
        <v>447</v>
      </c>
      <c r="H23">
        <v>181009160103</v>
      </c>
      <c r="I23" t="str">
        <f>CashIntraTable[Portfolio]&amp;VALUE(CashIntraTable[Cash Date])&amp;CashIntraTable[Detail]</f>
        <v>SCBAEM433842.1. Redemption</v>
      </c>
      <c r="K23" s="32" t="str">
        <v>SCBFIXED</v>
      </c>
      <c r="L23" s="33">
        <f>IFERROR(INDEX(CashIntraTable[Amount],MATCH($K23&amp;$K$13&amp;L$2,CashIntraTable[RefRng],0)),0)</f>
        <v>0</v>
      </c>
      <c r="M23" s="33">
        <f>IFERROR(INDEX(CashIntraTable[Amount],MATCH($K23&amp;$K$13&amp;M$2,CashIntraTable[RefRng],0)),0)</f>
        <v>0</v>
      </c>
      <c r="N23" s="33">
        <f>IFERROR(INDEX(CashIntraTable[Amount],MATCH($K23&amp;$K$13&amp;N$2,CashIntraTable[RefRng],0)),0)</f>
        <v>0</v>
      </c>
      <c r="O23" s="33">
        <f>IFERROR(INDEX(CashIntraTable[Amount],MATCH($K23&amp;$K$13&amp;O$2,CashIntraTable[RefRng],0)),0)</f>
        <v>0</v>
      </c>
      <c r="P23" s="33">
        <f>IFERROR(INDEX(CashIntraTable[Amount],MATCH($K23&amp;$K$13&amp;P$2,CashIntraTable[RefRng],0)),0)</f>
        <v>0</v>
      </c>
    </row>
    <row r="24" spans="1:16" x14ac:dyDescent="0.2">
      <c r="A24" t="s">
        <v>451</v>
      </c>
      <c r="B24" t="s">
        <v>23</v>
      </c>
      <c r="C24" s="50">
        <v>43385</v>
      </c>
      <c r="D24" t="s">
        <v>446</v>
      </c>
      <c r="E24">
        <v>-233695.93</v>
      </c>
      <c r="F24" t="s">
        <v>379</v>
      </c>
      <c r="G24" t="s">
        <v>447</v>
      </c>
      <c r="H24">
        <v>181009160103</v>
      </c>
      <c r="I24" t="str">
        <f>CashIntraTable[Portfolio]&amp;VALUE(CashIntraTable[Cash Date])&amp;CashIntraTable[Detail]</f>
        <v>SCBAEM433852.1. Redemption</v>
      </c>
    </row>
    <row r="25" spans="1:16" x14ac:dyDescent="0.2">
      <c r="A25" t="s">
        <v>451</v>
      </c>
      <c r="B25" t="s">
        <v>23</v>
      </c>
      <c r="C25" s="50">
        <v>43389</v>
      </c>
      <c r="D25" t="s">
        <v>446</v>
      </c>
      <c r="E25">
        <v>-1651259.97</v>
      </c>
      <c r="F25" t="s">
        <v>379</v>
      </c>
      <c r="G25" t="s">
        <v>447</v>
      </c>
      <c r="H25">
        <v>181009160103</v>
      </c>
      <c r="I25" t="str">
        <f>CashIntraTable[Portfolio]&amp;VALUE(CashIntraTable[Cash Date])&amp;CashIntraTable[Detail]</f>
        <v>SCBAEM433892.1. Redemption</v>
      </c>
    </row>
    <row r="26" spans="1:16" x14ac:dyDescent="0.2">
      <c r="A26" t="s">
        <v>451</v>
      </c>
      <c r="B26" t="s">
        <v>23</v>
      </c>
      <c r="C26" s="50">
        <v>43382</v>
      </c>
      <c r="D26" t="s">
        <v>446</v>
      </c>
      <c r="E26">
        <v>-684869.6</v>
      </c>
      <c r="F26" t="s">
        <v>380</v>
      </c>
      <c r="G26" t="s">
        <v>447</v>
      </c>
      <c r="H26">
        <v>181009160103</v>
      </c>
      <c r="I26" t="str">
        <f>CashIntraTable[Portfolio]&amp;VALUE(CashIntraTable[Cash Date])&amp;CashIntraTable[Detail]</f>
        <v>SCBAEM433822.2. Switch-out</v>
      </c>
    </row>
    <row r="27" spans="1:16" x14ac:dyDescent="0.2">
      <c r="A27" t="s">
        <v>451</v>
      </c>
      <c r="B27" t="s">
        <v>23</v>
      </c>
      <c r="C27" s="50">
        <v>43383</v>
      </c>
      <c r="D27" t="s">
        <v>446</v>
      </c>
      <c r="E27">
        <v>-4113239.61</v>
      </c>
      <c r="F27" t="s">
        <v>380</v>
      </c>
      <c r="G27" t="s">
        <v>447</v>
      </c>
      <c r="H27">
        <v>181009160103</v>
      </c>
      <c r="I27" t="str">
        <f>CashIntraTable[Portfolio]&amp;VALUE(CashIntraTable[Cash Date])&amp;CashIntraTable[Detail]</f>
        <v>SCBAEM433832.2. Switch-out</v>
      </c>
    </row>
    <row r="28" spans="1:16" x14ac:dyDescent="0.2">
      <c r="A28" t="s">
        <v>451</v>
      </c>
      <c r="B28" t="s">
        <v>23</v>
      </c>
      <c r="C28" s="50">
        <v>43384</v>
      </c>
      <c r="D28" t="s">
        <v>446</v>
      </c>
      <c r="E28">
        <v>-5075160.5599999996</v>
      </c>
      <c r="F28" t="s">
        <v>380</v>
      </c>
      <c r="G28" t="s">
        <v>447</v>
      </c>
      <c r="H28">
        <v>181009160103</v>
      </c>
      <c r="I28" t="str">
        <f>CashIntraTable[Portfolio]&amp;VALUE(CashIntraTable[Cash Date])&amp;CashIntraTable[Detail]</f>
        <v>SCBAEM433842.2. Switch-out</v>
      </c>
    </row>
    <row r="29" spans="1:16" x14ac:dyDescent="0.2">
      <c r="A29" t="s">
        <v>451</v>
      </c>
      <c r="B29" t="s">
        <v>23</v>
      </c>
      <c r="C29" s="50">
        <v>43385</v>
      </c>
      <c r="D29" t="s">
        <v>446</v>
      </c>
      <c r="E29">
        <v>-1408442.23</v>
      </c>
      <c r="F29" t="s">
        <v>380</v>
      </c>
      <c r="G29" t="s">
        <v>447</v>
      </c>
      <c r="H29">
        <v>181009160103</v>
      </c>
      <c r="I29" t="str">
        <f>CashIntraTable[Portfolio]&amp;VALUE(CashIntraTable[Cash Date])&amp;CashIntraTable[Detail]</f>
        <v>SCBAEM433852.2. Switch-out</v>
      </c>
    </row>
    <row r="30" spans="1:16" x14ac:dyDescent="0.2">
      <c r="A30" t="s">
        <v>451</v>
      </c>
      <c r="B30" t="s">
        <v>23</v>
      </c>
      <c r="C30" s="50">
        <v>43389</v>
      </c>
      <c r="D30" t="s">
        <v>446</v>
      </c>
      <c r="E30">
        <v>-2642911.46</v>
      </c>
      <c r="F30" t="s">
        <v>380</v>
      </c>
      <c r="G30" t="s">
        <v>447</v>
      </c>
      <c r="H30">
        <v>181009160103</v>
      </c>
      <c r="I30" t="str">
        <f>CashIntraTable[Portfolio]&amp;VALUE(CashIntraTable[Cash Date])&amp;CashIntraTable[Detail]</f>
        <v>SCBAEM433892.2. Switch-out</v>
      </c>
    </row>
    <row r="31" spans="1:16" x14ac:dyDescent="0.2">
      <c r="A31" t="s">
        <v>452</v>
      </c>
      <c r="B31" t="s">
        <v>23</v>
      </c>
      <c r="C31" s="50">
        <v>43383</v>
      </c>
      <c r="D31" t="s">
        <v>446</v>
      </c>
      <c r="E31">
        <v>7111075</v>
      </c>
      <c r="F31" t="s">
        <v>377</v>
      </c>
      <c r="G31" t="s">
        <v>447</v>
      </c>
      <c r="H31">
        <v>181009160103</v>
      </c>
      <c r="I31" t="str">
        <f>CashIntraTable[Portfolio]&amp;VALUE(CashIntraTable[Cash Date])&amp;CashIntraTable[Detail]</f>
        <v>SCBAEMH433831.1. Subscription</v>
      </c>
    </row>
    <row r="32" spans="1:16" x14ac:dyDescent="0.2">
      <c r="A32" t="s">
        <v>452</v>
      </c>
      <c r="B32" t="s">
        <v>23</v>
      </c>
      <c r="C32" s="50">
        <v>43383</v>
      </c>
      <c r="D32" t="s">
        <v>446</v>
      </c>
      <c r="E32">
        <v>1100000</v>
      </c>
      <c r="F32" t="s">
        <v>378</v>
      </c>
      <c r="G32" t="s">
        <v>447</v>
      </c>
      <c r="H32">
        <v>181009160103</v>
      </c>
      <c r="I32" t="str">
        <f>CashIntraTable[Portfolio]&amp;VALUE(CashIntraTable[Cash Date])&amp;CashIntraTable[Detail]</f>
        <v>SCBAEMH433831.2. Switch-in</v>
      </c>
    </row>
    <row r="33" spans="1:9" x14ac:dyDescent="0.2">
      <c r="A33" t="s">
        <v>452</v>
      </c>
      <c r="B33" t="s">
        <v>23</v>
      </c>
      <c r="C33" s="50">
        <v>43382</v>
      </c>
      <c r="D33" t="s">
        <v>446</v>
      </c>
      <c r="E33">
        <v>-802575.88</v>
      </c>
      <c r="F33" t="s">
        <v>379</v>
      </c>
      <c r="G33" t="s">
        <v>447</v>
      </c>
      <c r="H33">
        <v>181009160103</v>
      </c>
      <c r="I33" t="str">
        <f>CashIntraTable[Portfolio]&amp;VALUE(CashIntraTable[Cash Date])&amp;CashIntraTable[Detail]</f>
        <v>SCBAEMH433822.1. Redemption</v>
      </c>
    </row>
    <row r="34" spans="1:9" x14ac:dyDescent="0.2">
      <c r="A34" t="s">
        <v>452</v>
      </c>
      <c r="B34" t="s">
        <v>23</v>
      </c>
      <c r="C34" s="50">
        <v>43383</v>
      </c>
      <c r="D34" t="s">
        <v>446</v>
      </c>
      <c r="E34">
        <v>-37534.9</v>
      </c>
      <c r="F34" t="s">
        <v>379</v>
      </c>
      <c r="G34" t="s">
        <v>447</v>
      </c>
      <c r="H34">
        <v>181009160103</v>
      </c>
      <c r="I34" t="str">
        <f>CashIntraTable[Portfolio]&amp;VALUE(CashIntraTable[Cash Date])&amp;CashIntraTable[Detail]</f>
        <v>SCBAEMH433832.1. Redemption</v>
      </c>
    </row>
    <row r="35" spans="1:9" x14ac:dyDescent="0.2">
      <c r="A35" t="s">
        <v>452</v>
      </c>
      <c r="B35" t="s">
        <v>23</v>
      </c>
      <c r="C35" s="50">
        <v>43384</v>
      </c>
      <c r="D35" t="s">
        <v>446</v>
      </c>
      <c r="E35">
        <v>-707740.01</v>
      </c>
      <c r="F35" t="s">
        <v>379</v>
      </c>
      <c r="G35" t="s">
        <v>447</v>
      </c>
      <c r="H35">
        <v>181009160103</v>
      </c>
      <c r="I35" t="str">
        <f>CashIntraTable[Portfolio]&amp;VALUE(CashIntraTable[Cash Date])&amp;CashIntraTable[Detail]</f>
        <v>SCBAEMH433842.1. Redemption</v>
      </c>
    </row>
    <row r="36" spans="1:9" x14ac:dyDescent="0.2">
      <c r="A36" t="s">
        <v>452</v>
      </c>
      <c r="B36" t="s">
        <v>23</v>
      </c>
      <c r="C36" s="50">
        <v>43385</v>
      </c>
      <c r="D36" t="s">
        <v>446</v>
      </c>
      <c r="E36">
        <v>-9804.16</v>
      </c>
      <c r="F36" t="s">
        <v>379</v>
      </c>
      <c r="G36" t="s">
        <v>447</v>
      </c>
      <c r="H36">
        <v>181009160103</v>
      </c>
      <c r="I36" t="str">
        <f>CashIntraTable[Portfolio]&amp;VALUE(CashIntraTable[Cash Date])&amp;CashIntraTable[Detail]</f>
        <v>SCBAEMH433852.1. Redemption</v>
      </c>
    </row>
    <row r="37" spans="1:9" x14ac:dyDescent="0.2">
      <c r="A37" t="s">
        <v>452</v>
      </c>
      <c r="B37" t="s">
        <v>23</v>
      </c>
      <c r="C37" s="50">
        <v>43389</v>
      </c>
      <c r="D37" t="s">
        <v>446</v>
      </c>
      <c r="E37">
        <v>-3036660.13</v>
      </c>
      <c r="F37" t="s">
        <v>379</v>
      </c>
      <c r="G37" t="s">
        <v>447</v>
      </c>
      <c r="H37">
        <v>181009160103</v>
      </c>
      <c r="I37" t="str">
        <f>CashIntraTable[Portfolio]&amp;VALUE(CashIntraTable[Cash Date])&amp;CashIntraTable[Detail]</f>
        <v>SCBAEMH433892.1. Redemption</v>
      </c>
    </row>
    <row r="38" spans="1:9" x14ac:dyDescent="0.2">
      <c r="A38" t="s">
        <v>452</v>
      </c>
      <c r="B38" t="s">
        <v>23</v>
      </c>
      <c r="C38" s="50">
        <v>43390</v>
      </c>
      <c r="D38" t="s">
        <v>446</v>
      </c>
      <c r="E38">
        <v>-13094.54</v>
      </c>
      <c r="F38" t="s">
        <v>379</v>
      </c>
      <c r="G38" t="s">
        <v>447</v>
      </c>
      <c r="H38">
        <v>181009160103</v>
      </c>
      <c r="I38" t="str">
        <f>CashIntraTable[Portfolio]&amp;VALUE(CashIntraTable[Cash Date])&amp;CashIntraTable[Detail]</f>
        <v>SCBAEMH433902.1. Redemption</v>
      </c>
    </row>
    <row r="39" spans="1:9" x14ac:dyDescent="0.2">
      <c r="A39" t="s">
        <v>452</v>
      </c>
      <c r="B39" t="s">
        <v>23</v>
      </c>
      <c r="C39" s="50">
        <v>43382</v>
      </c>
      <c r="D39" t="s">
        <v>446</v>
      </c>
      <c r="E39">
        <v>-1667327.88</v>
      </c>
      <c r="F39" t="s">
        <v>380</v>
      </c>
      <c r="G39" t="s">
        <v>447</v>
      </c>
      <c r="H39">
        <v>181009160103</v>
      </c>
      <c r="I39" t="str">
        <f>CashIntraTable[Portfolio]&amp;VALUE(CashIntraTable[Cash Date])&amp;CashIntraTable[Detail]</f>
        <v>SCBAEMH433822.2. Switch-out</v>
      </c>
    </row>
    <row r="40" spans="1:9" x14ac:dyDescent="0.2">
      <c r="A40" t="s">
        <v>452</v>
      </c>
      <c r="B40" t="s">
        <v>23</v>
      </c>
      <c r="C40" s="50">
        <v>43383</v>
      </c>
      <c r="D40" t="s">
        <v>446</v>
      </c>
      <c r="E40">
        <v>-2946664.87</v>
      </c>
      <c r="F40" t="s">
        <v>380</v>
      </c>
      <c r="G40" t="s">
        <v>447</v>
      </c>
      <c r="H40">
        <v>181009160103</v>
      </c>
      <c r="I40" t="str">
        <f>CashIntraTable[Portfolio]&amp;VALUE(CashIntraTable[Cash Date])&amp;CashIntraTable[Detail]</f>
        <v>SCBAEMH433832.2. Switch-out</v>
      </c>
    </row>
    <row r="41" spans="1:9" x14ac:dyDescent="0.2">
      <c r="A41" t="s">
        <v>452</v>
      </c>
      <c r="B41" t="s">
        <v>23</v>
      </c>
      <c r="C41" s="50">
        <v>43384</v>
      </c>
      <c r="D41" t="s">
        <v>446</v>
      </c>
      <c r="E41">
        <v>-900433</v>
      </c>
      <c r="F41" t="s">
        <v>380</v>
      </c>
      <c r="G41" t="s">
        <v>447</v>
      </c>
      <c r="H41">
        <v>181009160103</v>
      </c>
      <c r="I41" t="str">
        <f>CashIntraTable[Portfolio]&amp;VALUE(CashIntraTable[Cash Date])&amp;CashIntraTable[Detail]</f>
        <v>SCBAEMH433842.2. Switch-out</v>
      </c>
    </row>
    <row r="42" spans="1:9" x14ac:dyDescent="0.2">
      <c r="A42" t="s">
        <v>452</v>
      </c>
      <c r="B42" t="s">
        <v>23</v>
      </c>
      <c r="C42" s="50">
        <v>43385</v>
      </c>
      <c r="D42" t="s">
        <v>446</v>
      </c>
      <c r="E42">
        <v>-2086264.4</v>
      </c>
      <c r="F42" t="s">
        <v>380</v>
      </c>
      <c r="G42" t="s">
        <v>447</v>
      </c>
      <c r="H42">
        <v>181009160103</v>
      </c>
      <c r="I42" t="str">
        <f>CashIntraTable[Portfolio]&amp;VALUE(CashIntraTable[Cash Date])&amp;CashIntraTable[Detail]</f>
        <v>SCBAEMH433852.2. Switch-out</v>
      </c>
    </row>
    <row r="43" spans="1:9" x14ac:dyDescent="0.2">
      <c r="A43" t="s">
        <v>452</v>
      </c>
      <c r="B43" t="s">
        <v>23</v>
      </c>
      <c r="C43" s="50">
        <v>43389</v>
      </c>
      <c r="D43" t="s">
        <v>446</v>
      </c>
      <c r="E43">
        <v>-5546260.3499999996</v>
      </c>
      <c r="F43" t="s">
        <v>380</v>
      </c>
      <c r="G43" t="s">
        <v>447</v>
      </c>
      <c r="H43">
        <v>181009160103</v>
      </c>
      <c r="I43" t="str">
        <f>CashIntraTable[Portfolio]&amp;VALUE(CashIntraTable[Cash Date])&amp;CashIntraTable[Detail]</f>
        <v>SCBAEMH433892.2. Switch-out</v>
      </c>
    </row>
    <row r="44" spans="1:9" x14ac:dyDescent="0.2">
      <c r="A44" t="s">
        <v>453</v>
      </c>
      <c r="B44" t="s">
        <v>23</v>
      </c>
      <c r="C44" s="50">
        <v>43383</v>
      </c>
      <c r="D44" t="s">
        <v>446</v>
      </c>
      <c r="E44">
        <v>35000</v>
      </c>
      <c r="F44" t="s">
        <v>377</v>
      </c>
      <c r="G44" t="s">
        <v>447</v>
      </c>
      <c r="H44">
        <v>181009160103</v>
      </c>
      <c r="I44" t="str">
        <f>CashIntraTable[Portfolio]&amp;VALUE(CashIntraTable[Cash Date])&amp;CashIntraTable[Detail]</f>
        <v>SCBAPLUSFUND433831.1. Subscription</v>
      </c>
    </row>
    <row r="45" spans="1:9" x14ac:dyDescent="0.2">
      <c r="A45" t="s">
        <v>453</v>
      </c>
      <c r="B45" t="s">
        <v>23</v>
      </c>
      <c r="C45" s="50">
        <v>43382</v>
      </c>
      <c r="D45" t="s">
        <v>446</v>
      </c>
      <c r="E45">
        <v>-200000</v>
      </c>
      <c r="F45" t="s">
        <v>379</v>
      </c>
      <c r="G45" t="s">
        <v>447</v>
      </c>
      <c r="H45">
        <v>181009160103</v>
      </c>
      <c r="I45" t="str">
        <f>CashIntraTable[Portfolio]&amp;VALUE(CashIntraTable[Cash Date])&amp;CashIntraTable[Detail]</f>
        <v>SCBAPLUSFUND433822.1. Redemption</v>
      </c>
    </row>
    <row r="46" spans="1:9" x14ac:dyDescent="0.2">
      <c r="A46" t="s">
        <v>453</v>
      </c>
      <c r="B46" t="s">
        <v>23</v>
      </c>
      <c r="C46" s="50">
        <v>43383</v>
      </c>
      <c r="D46" t="s">
        <v>446</v>
      </c>
      <c r="E46">
        <v>-2331115.0099999998</v>
      </c>
      <c r="F46" t="s">
        <v>379</v>
      </c>
      <c r="G46" t="s">
        <v>447</v>
      </c>
      <c r="H46">
        <v>181009160103</v>
      </c>
      <c r="I46" t="str">
        <f>CashIntraTable[Portfolio]&amp;VALUE(CashIntraTable[Cash Date])&amp;CashIntraTable[Detail]</f>
        <v>SCBAPLUSFUND433832.1. Redemption</v>
      </c>
    </row>
    <row r="47" spans="1:9" x14ac:dyDescent="0.2">
      <c r="A47" t="s">
        <v>453</v>
      </c>
      <c r="B47" t="s">
        <v>23</v>
      </c>
      <c r="C47" s="50">
        <v>43384</v>
      </c>
      <c r="D47" t="s">
        <v>446</v>
      </c>
      <c r="E47">
        <v>-914809.84</v>
      </c>
      <c r="F47" t="s">
        <v>379</v>
      </c>
      <c r="G47" t="s">
        <v>447</v>
      </c>
      <c r="H47">
        <v>181009160103</v>
      </c>
      <c r="I47" t="str">
        <f>CashIntraTable[Portfolio]&amp;VALUE(CashIntraTable[Cash Date])&amp;CashIntraTable[Detail]</f>
        <v>SCBAPLUSFUND433842.1. Redemption</v>
      </c>
    </row>
    <row r="48" spans="1:9" x14ac:dyDescent="0.2">
      <c r="A48" t="s">
        <v>453</v>
      </c>
      <c r="B48" t="s">
        <v>23</v>
      </c>
      <c r="C48" s="50">
        <v>43385</v>
      </c>
      <c r="D48" t="s">
        <v>446</v>
      </c>
      <c r="E48">
        <v>-12260834.619999999</v>
      </c>
      <c r="F48" t="s">
        <v>379</v>
      </c>
      <c r="G48" t="s">
        <v>447</v>
      </c>
      <c r="H48">
        <v>181009160103</v>
      </c>
      <c r="I48" t="str">
        <f>CashIntraTable[Portfolio]&amp;VALUE(CashIntraTable[Cash Date])&amp;CashIntraTable[Detail]</f>
        <v>SCBAPLUSFUND433852.1. Redemption</v>
      </c>
    </row>
    <row r="49" spans="1:9" x14ac:dyDescent="0.2">
      <c r="A49" t="s">
        <v>453</v>
      </c>
      <c r="B49" t="s">
        <v>23</v>
      </c>
      <c r="C49" s="50">
        <v>43382</v>
      </c>
      <c r="D49" t="s">
        <v>446</v>
      </c>
      <c r="E49">
        <v>-932099.47</v>
      </c>
      <c r="F49" t="s">
        <v>380</v>
      </c>
      <c r="G49" t="s">
        <v>447</v>
      </c>
      <c r="H49">
        <v>181009160103</v>
      </c>
      <c r="I49" t="str">
        <f>CashIntraTable[Portfolio]&amp;VALUE(CashIntraTable[Cash Date])&amp;CashIntraTable[Detail]</f>
        <v>SCBAPLUSFUND433822.2. Switch-out</v>
      </c>
    </row>
    <row r="50" spans="1:9" x14ac:dyDescent="0.2">
      <c r="A50" t="s">
        <v>453</v>
      </c>
      <c r="B50" t="s">
        <v>23</v>
      </c>
      <c r="C50" s="50">
        <v>43383</v>
      </c>
      <c r="D50" t="s">
        <v>446</v>
      </c>
      <c r="E50">
        <v>-519368.97</v>
      </c>
      <c r="F50" t="s">
        <v>380</v>
      </c>
      <c r="G50" t="s">
        <v>447</v>
      </c>
      <c r="H50">
        <v>181009160103</v>
      </c>
      <c r="I50" t="str">
        <f>CashIntraTable[Portfolio]&amp;VALUE(CashIntraTable[Cash Date])&amp;CashIntraTable[Detail]</f>
        <v>SCBAPLUSFUND433832.2. Switch-out</v>
      </c>
    </row>
    <row r="51" spans="1:9" x14ac:dyDescent="0.2">
      <c r="A51" t="s">
        <v>453</v>
      </c>
      <c r="B51" t="s">
        <v>23</v>
      </c>
      <c r="C51" s="50">
        <v>43384</v>
      </c>
      <c r="D51" t="s">
        <v>446</v>
      </c>
      <c r="E51">
        <v>-1502663.91</v>
      </c>
      <c r="F51" t="s">
        <v>380</v>
      </c>
      <c r="G51" t="s">
        <v>447</v>
      </c>
      <c r="H51">
        <v>181009160103</v>
      </c>
      <c r="I51" t="str">
        <f>CashIntraTable[Portfolio]&amp;VALUE(CashIntraTable[Cash Date])&amp;CashIntraTable[Detail]</f>
        <v>SCBAPLUSFUND433842.2. Switch-out</v>
      </c>
    </row>
    <row r="52" spans="1:9" x14ac:dyDescent="0.2">
      <c r="A52" t="s">
        <v>453</v>
      </c>
      <c r="B52" t="s">
        <v>23</v>
      </c>
      <c r="C52" s="50">
        <v>43385</v>
      </c>
      <c r="D52" t="s">
        <v>446</v>
      </c>
      <c r="E52">
        <v>-1194458.28</v>
      </c>
      <c r="F52" t="s">
        <v>380</v>
      </c>
      <c r="G52" t="s">
        <v>447</v>
      </c>
      <c r="H52">
        <v>181009160103</v>
      </c>
      <c r="I52" t="str">
        <f>CashIntraTable[Portfolio]&amp;VALUE(CashIntraTable[Cash Date])&amp;CashIntraTable[Detail]</f>
        <v>SCBAPLUSFUND433852.2. Switch-out</v>
      </c>
    </row>
    <row r="53" spans="1:9" x14ac:dyDescent="0.2">
      <c r="A53" t="s">
        <v>454</v>
      </c>
      <c r="B53" t="s">
        <v>23</v>
      </c>
      <c r="C53" s="50">
        <v>43382</v>
      </c>
      <c r="D53" t="s">
        <v>446</v>
      </c>
      <c r="E53">
        <v>10053.24</v>
      </c>
      <c r="F53" t="s">
        <v>377</v>
      </c>
      <c r="G53" t="s">
        <v>447</v>
      </c>
      <c r="H53">
        <v>181009160103</v>
      </c>
      <c r="I53" t="str">
        <f>CashIntraTable[Portfolio]&amp;VALUE(CashIntraTable[Cash Date])&amp;CashIntraTable[Detail]</f>
        <v>SCBAUD433821.1. Subscription</v>
      </c>
    </row>
    <row r="54" spans="1:9" x14ac:dyDescent="0.2">
      <c r="A54" t="s">
        <v>454</v>
      </c>
      <c r="B54" t="s">
        <v>23</v>
      </c>
      <c r="C54" s="50">
        <v>43383</v>
      </c>
      <c r="D54" t="s">
        <v>446</v>
      </c>
      <c r="E54">
        <v>26000</v>
      </c>
      <c r="F54" t="s">
        <v>377</v>
      </c>
      <c r="G54" t="s">
        <v>447</v>
      </c>
      <c r="H54">
        <v>181009160103</v>
      </c>
      <c r="I54" t="str">
        <f>CashIntraTable[Portfolio]&amp;VALUE(CashIntraTable[Cash Date])&amp;CashIntraTable[Detail]</f>
        <v>SCBAUD433831.1. Subscription</v>
      </c>
    </row>
    <row r="55" spans="1:9" x14ac:dyDescent="0.2">
      <c r="A55" t="s">
        <v>454</v>
      </c>
      <c r="B55" t="s">
        <v>23</v>
      </c>
      <c r="C55" s="50">
        <v>43383</v>
      </c>
      <c r="D55" t="s">
        <v>446</v>
      </c>
      <c r="E55">
        <v>2000</v>
      </c>
      <c r="F55" t="s">
        <v>378</v>
      </c>
      <c r="G55" t="s">
        <v>447</v>
      </c>
      <c r="H55">
        <v>181009160103</v>
      </c>
      <c r="I55" t="str">
        <f>CashIntraTable[Portfolio]&amp;VALUE(CashIntraTable[Cash Date])&amp;CashIntraTable[Detail]</f>
        <v>SCBAUD433831.2. Switch-in</v>
      </c>
    </row>
    <row r="56" spans="1:9" x14ac:dyDescent="0.2">
      <c r="A56" t="s">
        <v>455</v>
      </c>
      <c r="B56" t="s">
        <v>23</v>
      </c>
      <c r="C56" s="50">
        <v>43382</v>
      </c>
      <c r="D56" t="s">
        <v>446</v>
      </c>
      <c r="E56">
        <v>166569.49</v>
      </c>
      <c r="F56" t="s">
        <v>377</v>
      </c>
      <c r="G56" t="s">
        <v>447</v>
      </c>
      <c r="H56">
        <v>181009160103</v>
      </c>
      <c r="I56" t="str">
        <f>CashIntraTable[Portfolio]&amp;VALUE(CashIntraTable[Cash Date])&amp;CashIntraTable[Detail]</f>
        <v>SCBBANKINGFUND433821.1. Subscription</v>
      </c>
    </row>
    <row r="57" spans="1:9" x14ac:dyDescent="0.2">
      <c r="A57" t="s">
        <v>455</v>
      </c>
      <c r="B57" t="s">
        <v>23</v>
      </c>
      <c r="C57" s="50">
        <v>43383</v>
      </c>
      <c r="D57" t="s">
        <v>446</v>
      </c>
      <c r="E57">
        <v>368625</v>
      </c>
      <c r="F57" t="s">
        <v>377</v>
      </c>
      <c r="G57" t="s">
        <v>447</v>
      </c>
      <c r="H57">
        <v>181009160103</v>
      </c>
      <c r="I57" t="str">
        <f>CashIntraTable[Portfolio]&amp;VALUE(CashIntraTable[Cash Date])&amp;CashIntraTable[Detail]</f>
        <v>SCBBANKINGFUND433831.1. Subscription</v>
      </c>
    </row>
    <row r="58" spans="1:9" x14ac:dyDescent="0.2">
      <c r="A58" t="s">
        <v>455</v>
      </c>
      <c r="B58" t="s">
        <v>23</v>
      </c>
      <c r="C58" s="50">
        <v>43382</v>
      </c>
      <c r="D58" t="s">
        <v>446</v>
      </c>
      <c r="E58">
        <v>540000</v>
      </c>
      <c r="F58" t="s">
        <v>378</v>
      </c>
      <c r="G58" t="s">
        <v>447</v>
      </c>
      <c r="H58">
        <v>181009160103</v>
      </c>
      <c r="I58" t="str">
        <f>CashIntraTable[Portfolio]&amp;VALUE(CashIntraTable[Cash Date])&amp;CashIntraTable[Detail]</f>
        <v>SCBBANKINGFUND433821.2. Switch-in</v>
      </c>
    </row>
    <row r="59" spans="1:9" x14ac:dyDescent="0.2">
      <c r="A59" t="s">
        <v>455</v>
      </c>
      <c r="B59" t="s">
        <v>23</v>
      </c>
      <c r="C59" s="50">
        <v>43383</v>
      </c>
      <c r="D59" t="s">
        <v>446</v>
      </c>
      <c r="E59">
        <v>45192.08</v>
      </c>
      <c r="F59" t="s">
        <v>378</v>
      </c>
      <c r="G59" t="s">
        <v>447</v>
      </c>
      <c r="H59">
        <v>181009160103</v>
      </c>
      <c r="I59" t="str">
        <f>CashIntraTable[Portfolio]&amp;VALUE(CashIntraTable[Cash Date])&amp;CashIntraTable[Detail]</f>
        <v>SCBBANKINGFUND433831.2. Switch-in</v>
      </c>
    </row>
    <row r="60" spans="1:9" x14ac:dyDescent="0.2">
      <c r="A60" t="s">
        <v>455</v>
      </c>
      <c r="B60" t="s">
        <v>23</v>
      </c>
      <c r="C60" s="50">
        <v>43384</v>
      </c>
      <c r="D60" t="s">
        <v>446</v>
      </c>
      <c r="E60">
        <v>1427.65</v>
      </c>
      <c r="F60" t="s">
        <v>378</v>
      </c>
      <c r="G60" t="s">
        <v>447</v>
      </c>
      <c r="H60">
        <v>181009160103</v>
      </c>
      <c r="I60" t="str">
        <f>CashIntraTable[Portfolio]&amp;VALUE(CashIntraTable[Cash Date])&amp;CashIntraTable[Detail]</f>
        <v>SCBBANKINGFUND433841.2. Switch-in</v>
      </c>
    </row>
    <row r="61" spans="1:9" x14ac:dyDescent="0.2">
      <c r="A61" t="s">
        <v>455</v>
      </c>
      <c r="B61" t="s">
        <v>23</v>
      </c>
      <c r="C61" s="50">
        <v>43389</v>
      </c>
      <c r="D61" t="s">
        <v>446</v>
      </c>
      <c r="E61">
        <v>28296.11</v>
      </c>
      <c r="F61" t="s">
        <v>378</v>
      </c>
      <c r="G61" t="s">
        <v>447</v>
      </c>
      <c r="H61">
        <v>181009160103</v>
      </c>
      <c r="I61" t="str">
        <f>CashIntraTable[Portfolio]&amp;VALUE(CashIntraTable[Cash Date])&amp;CashIntraTable[Detail]</f>
        <v>SCBBANKINGFUND433891.2. Switch-in</v>
      </c>
    </row>
    <row r="62" spans="1:9" x14ac:dyDescent="0.2">
      <c r="A62" t="s">
        <v>455</v>
      </c>
      <c r="B62" t="s">
        <v>23</v>
      </c>
      <c r="C62" s="50">
        <v>43382</v>
      </c>
      <c r="D62" t="s">
        <v>446</v>
      </c>
      <c r="E62">
        <v>-23377.82</v>
      </c>
      <c r="F62" t="s">
        <v>379</v>
      </c>
      <c r="G62" t="s">
        <v>447</v>
      </c>
      <c r="H62">
        <v>181009160103</v>
      </c>
      <c r="I62" t="str">
        <f>CashIntraTable[Portfolio]&amp;VALUE(CashIntraTable[Cash Date])&amp;CashIntraTable[Detail]</f>
        <v>SCBBANKINGFUND433822.1. Redemption</v>
      </c>
    </row>
    <row r="63" spans="1:9" x14ac:dyDescent="0.2">
      <c r="A63" t="s">
        <v>455</v>
      </c>
      <c r="B63" t="s">
        <v>23</v>
      </c>
      <c r="C63" s="50">
        <v>43383</v>
      </c>
      <c r="D63" t="s">
        <v>446</v>
      </c>
      <c r="E63">
        <v>-196444.29</v>
      </c>
      <c r="F63" t="s">
        <v>379</v>
      </c>
      <c r="G63" t="s">
        <v>447</v>
      </c>
      <c r="H63">
        <v>181009160103</v>
      </c>
      <c r="I63" t="str">
        <f>CashIntraTable[Portfolio]&amp;VALUE(CashIntraTable[Cash Date])&amp;CashIntraTable[Detail]</f>
        <v>SCBBANKINGFUND433832.1. Redemption</v>
      </c>
    </row>
    <row r="64" spans="1:9" x14ac:dyDescent="0.2">
      <c r="A64" t="s">
        <v>455</v>
      </c>
      <c r="B64" t="s">
        <v>23</v>
      </c>
      <c r="C64" s="50">
        <v>43384</v>
      </c>
      <c r="D64" t="s">
        <v>446</v>
      </c>
      <c r="E64">
        <v>-294435.13</v>
      </c>
      <c r="F64" t="s">
        <v>379</v>
      </c>
      <c r="G64" t="s">
        <v>447</v>
      </c>
      <c r="H64">
        <v>181009160103</v>
      </c>
      <c r="I64" t="str">
        <f>CashIntraTable[Portfolio]&amp;VALUE(CashIntraTable[Cash Date])&amp;CashIntraTable[Detail]</f>
        <v>SCBBANKINGFUND433842.1. Redemption</v>
      </c>
    </row>
    <row r="65" spans="1:9" x14ac:dyDescent="0.2">
      <c r="A65" t="s">
        <v>455</v>
      </c>
      <c r="B65" t="s">
        <v>23</v>
      </c>
      <c r="C65" s="50">
        <v>43385</v>
      </c>
      <c r="D65" t="s">
        <v>446</v>
      </c>
      <c r="E65">
        <v>-749421.88</v>
      </c>
      <c r="F65" t="s">
        <v>379</v>
      </c>
      <c r="G65" t="s">
        <v>447</v>
      </c>
      <c r="H65">
        <v>181009160103</v>
      </c>
      <c r="I65" t="str">
        <f>CashIntraTable[Portfolio]&amp;VALUE(CashIntraTable[Cash Date])&amp;CashIntraTable[Detail]</f>
        <v>SCBBANKINGFUND433852.1. Redemption</v>
      </c>
    </row>
    <row r="66" spans="1:9" x14ac:dyDescent="0.2">
      <c r="A66" t="s">
        <v>455</v>
      </c>
      <c r="B66" t="s">
        <v>23</v>
      </c>
      <c r="C66" s="50">
        <v>43382</v>
      </c>
      <c r="D66" t="s">
        <v>446</v>
      </c>
      <c r="E66">
        <v>-1000978.89</v>
      </c>
      <c r="F66" t="s">
        <v>380</v>
      </c>
      <c r="G66" t="s">
        <v>447</v>
      </c>
      <c r="H66">
        <v>181009160103</v>
      </c>
      <c r="I66" t="str">
        <f>CashIntraTable[Portfolio]&amp;VALUE(CashIntraTable[Cash Date])&amp;CashIntraTable[Detail]</f>
        <v>SCBBANKINGFUND433822.2. Switch-out</v>
      </c>
    </row>
    <row r="67" spans="1:9" x14ac:dyDescent="0.2">
      <c r="A67" t="s">
        <v>455</v>
      </c>
      <c r="B67" t="s">
        <v>23</v>
      </c>
      <c r="C67" s="50">
        <v>43383</v>
      </c>
      <c r="D67" t="s">
        <v>446</v>
      </c>
      <c r="E67">
        <v>-43593.83</v>
      </c>
      <c r="F67" t="s">
        <v>380</v>
      </c>
      <c r="G67" t="s">
        <v>447</v>
      </c>
      <c r="H67">
        <v>181009160103</v>
      </c>
      <c r="I67" t="str">
        <f>CashIntraTable[Portfolio]&amp;VALUE(CashIntraTable[Cash Date])&amp;CashIntraTable[Detail]</f>
        <v>SCBBANKINGFUND433832.2. Switch-out</v>
      </c>
    </row>
    <row r="68" spans="1:9" x14ac:dyDescent="0.2">
      <c r="A68" t="s">
        <v>455</v>
      </c>
      <c r="B68" t="s">
        <v>23</v>
      </c>
      <c r="C68" s="50">
        <v>43384</v>
      </c>
      <c r="D68" t="s">
        <v>446</v>
      </c>
      <c r="E68">
        <v>-2013.85</v>
      </c>
      <c r="F68" t="s">
        <v>380</v>
      </c>
      <c r="G68" t="s">
        <v>447</v>
      </c>
      <c r="H68">
        <v>181009160103</v>
      </c>
      <c r="I68" t="str">
        <f>CashIntraTable[Portfolio]&amp;VALUE(CashIntraTable[Cash Date])&amp;CashIntraTable[Detail]</f>
        <v>SCBBANKINGFUND433842.2. Switch-out</v>
      </c>
    </row>
    <row r="69" spans="1:9" x14ac:dyDescent="0.2">
      <c r="A69" t="s">
        <v>456</v>
      </c>
      <c r="B69" t="s">
        <v>23</v>
      </c>
      <c r="C69" s="50">
        <v>43383</v>
      </c>
      <c r="D69" t="s">
        <v>446</v>
      </c>
      <c r="E69">
        <v>2898870</v>
      </c>
      <c r="F69" t="s">
        <v>377</v>
      </c>
      <c r="G69" t="s">
        <v>447</v>
      </c>
      <c r="H69">
        <v>181009160103</v>
      </c>
      <c r="I69" t="str">
        <f>CashIntraTable[Portfolio]&amp;VALUE(CashIntraTable[Cash Date])&amp;CashIntraTable[Detail]</f>
        <v>SCBBLN433831.1. Subscription</v>
      </c>
    </row>
    <row r="70" spans="1:9" x14ac:dyDescent="0.2">
      <c r="A70" t="s">
        <v>456</v>
      </c>
      <c r="B70" t="s">
        <v>23</v>
      </c>
      <c r="C70" s="50">
        <v>43383</v>
      </c>
      <c r="D70" t="s">
        <v>446</v>
      </c>
      <c r="E70">
        <v>-59928.3</v>
      </c>
      <c r="F70" t="s">
        <v>379</v>
      </c>
      <c r="G70" t="s">
        <v>447</v>
      </c>
      <c r="H70">
        <v>181009160103</v>
      </c>
      <c r="I70" t="str">
        <f>CashIntraTable[Portfolio]&amp;VALUE(CashIntraTable[Cash Date])&amp;CashIntraTable[Detail]</f>
        <v>SCBBLN433832.1. Redemption</v>
      </c>
    </row>
    <row r="71" spans="1:9" x14ac:dyDescent="0.2">
      <c r="A71" t="s">
        <v>456</v>
      </c>
      <c r="B71" t="s">
        <v>23</v>
      </c>
      <c r="C71" s="50">
        <v>43384</v>
      </c>
      <c r="D71" t="s">
        <v>446</v>
      </c>
      <c r="E71">
        <v>-4400</v>
      </c>
      <c r="F71" t="s">
        <v>379</v>
      </c>
      <c r="G71" t="s">
        <v>447</v>
      </c>
      <c r="H71">
        <v>181009160103</v>
      </c>
      <c r="I71" t="str">
        <f>CashIntraTable[Portfolio]&amp;VALUE(CashIntraTable[Cash Date])&amp;CashIntraTable[Detail]</f>
        <v>SCBBLN433842.1. Redemption</v>
      </c>
    </row>
    <row r="72" spans="1:9" x14ac:dyDescent="0.2">
      <c r="A72" t="s">
        <v>456</v>
      </c>
      <c r="B72" t="s">
        <v>23</v>
      </c>
      <c r="C72" s="50">
        <v>43385</v>
      </c>
      <c r="D72" t="s">
        <v>446</v>
      </c>
      <c r="E72">
        <v>-12145.86</v>
      </c>
      <c r="F72" t="s">
        <v>379</v>
      </c>
      <c r="G72" t="s">
        <v>447</v>
      </c>
      <c r="H72">
        <v>181009160103</v>
      </c>
      <c r="I72" t="str">
        <f>CashIntraTable[Portfolio]&amp;VALUE(CashIntraTable[Cash Date])&amp;CashIntraTable[Detail]</f>
        <v>SCBBLN433852.1. Redemption</v>
      </c>
    </row>
    <row r="73" spans="1:9" x14ac:dyDescent="0.2">
      <c r="A73" t="s">
        <v>456</v>
      </c>
      <c r="B73" t="s">
        <v>23</v>
      </c>
      <c r="C73" s="50">
        <v>43384</v>
      </c>
      <c r="D73" t="s">
        <v>446</v>
      </c>
      <c r="E73">
        <v>-296364.53000000003</v>
      </c>
      <c r="F73" t="s">
        <v>380</v>
      </c>
      <c r="G73" t="s">
        <v>447</v>
      </c>
      <c r="H73">
        <v>181009160103</v>
      </c>
      <c r="I73" t="str">
        <f>CashIntraTable[Portfolio]&amp;VALUE(CashIntraTable[Cash Date])&amp;CashIntraTable[Detail]</f>
        <v>SCBBLN433842.2. Switch-out</v>
      </c>
    </row>
    <row r="74" spans="1:9" x14ac:dyDescent="0.2">
      <c r="A74" t="s">
        <v>456</v>
      </c>
      <c r="B74" t="s">
        <v>23</v>
      </c>
      <c r="C74" s="50">
        <v>43385</v>
      </c>
      <c r="D74" t="s">
        <v>446</v>
      </c>
      <c r="E74">
        <v>-500000</v>
      </c>
      <c r="F74" t="s">
        <v>380</v>
      </c>
      <c r="G74" t="s">
        <v>447</v>
      </c>
      <c r="H74">
        <v>181009160103</v>
      </c>
      <c r="I74" t="str">
        <f>CashIntraTable[Portfolio]&amp;VALUE(CashIntraTable[Cash Date])&amp;CashIntraTable[Detail]</f>
        <v>SCBBLN433852.2. Switch-out</v>
      </c>
    </row>
    <row r="75" spans="1:9" x14ac:dyDescent="0.2">
      <c r="A75" t="s">
        <v>457</v>
      </c>
      <c r="B75" t="s">
        <v>23</v>
      </c>
      <c r="C75" s="50">
        <v>43382</v>
      </c>
      <c r="D75" t="s">
        <v>446</v>
      </c>
      <c r="E75">
        <v>679442.34</v>
      </c>
      <c r="F75" t="s">
        <v>377</v>
      </c>
      <c r="G75" t="s">
        <v>447</v>
      </c>
      <c r="H75">
        <v>181009160103</v>
      </c>
      <c r="I75" t="str">
        <f>CashIntraTable[Portfolio]&amp;VALUE(CashIntraTable[Cash Date])&amp;CashIntraTable[Detail]</f>
        <v>SCBCE433821.1. Subscription</v>
      </c>
    </row>
    <row r="76" spans="1:9" x14ac:dyDescent="0.2">
      <c r="A76" t="s">
        <v>457</v>
      </c>
      <c r="B76" t="s">
        <v>23</v>
      </c>
      <c r="C76" s="50">
        <v>43383</v>
      </c>
      <c r="D76" t="s">
        <v>446</v>
      </c>
      <c r="E76">
        <v>49000</v>
      </c>
      <c r="F76" t="s">
        <v>377</v>
      </c>
      <c r="G76" t="s">
        <v>447</v>
      </c>
      <c r="H76">
        <v>181009160103</v>
      </c>
      <c r="I76" t="str">
        <f>CashIntraTable[Portfolio]&amp;VALUE(CashIntraTable[Cash Date])&amp;CashIntraTable[Detail]</f>
        <v>SCBCE433831.1. Subscription</v>
      </c>
    </row>
    <row r="77" spans="1:9" x14ac:dyDescent="0.2">
      <c r="A77" t="s">
        <v>457</v>
      </c>
      <c r="B77" t="s">
        <v>23</v>
      </c>
      <c r="C77" s="50">
        <v>43382</v>
      </c>
      <c r="D77" t="s">
        <v>446</v>
      </c>
      <c r="E77">
        <v>102000</v>
      </c>
      <c r="F77" t="s">
        <v>378</v>
      </c>
      <c r="G77" t="s">
        <v>447</v>
      </c>
      <c r="H77">
        <v>181009160103</v>
      </c>
      <c r="I77" t="str">
        <f>CashIntraTable[Portfolio]&amp;VALUE(CashIntraTable[Cash Date])&amp;CashIntraTable[Detail]</f>
        <v>SCBCE433821.2. Switch-in</v>
      </c>
    </row>
    <row r="78" spans="1:9" x14ac:dyDescent="0.2">
      <c r="A78" t="s">
        <v>457</v>
      </c>
      <c r="B78" t="s">
        <v>23</v>
      </c>
      <c r="C78" s="50">
        <v>43383</v>
      </c>
      <c r="D78" t="s">
        <v>446</v>
      </c>
      <c r="E78">
        <v>16504.759999999998</v>
      </c>
      <c r="F78" t="s">
        <v>378</v>
      </c>
      <c r="G78" t="s">
        <v>447</v>
      </c>
      <c r="H78">
        <v>181009160103</v>
      </c>
      <c r="I78" t="str">
        <f>CashIntraTable[Portfolio]&amp;VALUE(CashIntraTable[Cash Date])&amp;CashIntraTable[Detail]</f>
        <v>SCBCE433831.2. Switch-in</v>
      </c>
    </row>
    <row r="79" spans="1:9" x14ac:dyDescent="0.2">
      <c r="A79" t="s">
        <v>457</v>
      </c>
      <c r="B79" t="s">
        <v>23</v>
      </c>
      <c r="C79" s="50">
        <v>43382</v>
      </c>
      <c r="D79" t="s">
        <v>446</v>
      </c>
      <c r="E79">
        <v>-998.02</v>
      </c>
      <c r="F79" t="s">
        <v>379</v>
      </c>
      <c r="G79" t="s">
        <v>447</v>
      </c>
      <c r="H79">
        <v>181009160103</v>
      </c>
      <c r="I79" t="str">
        <f>CashIntraTable[Portfolio]&amp;VALUE(CashIntraTable[Cash Date])&amp;CashIntraTable[Detail]</f>
        <v>SCBCE433822.1. Redemption</v>
      </c>
    </row>
    <row r="80" spans="1:9" x14ac:dyDescent="0.2">
      <c r="A80" t="s">
        <v>457</v>
      </c>
      <c r="B80" t="s">
        <v>23</v>
      </c>
      <c r="C80" s="50">
        <v>43383</v>
      </c>
      <c r="D80" t="s">
        <v>446</v>
      </c>
      <c r="E80">
        <v>-5333179.5199999996</v>
      </c>
      <c r="F80" t="s">
        <v>379</v>
      </c>
      <c r="G80" t="s">
        <v>447</v>
      </c>
      <c r="H80">
        <v>181009160103</v>
      </c>
      <c r="I80" t="str">
        <f>CashIntraTable[Portfolio]&amp;VALUE(CashIntraTable[Cash Date])&amp;CashIntraTable[Detail]</f>
        <v>SCBCE433832.1. Redemption</v>
      </c>
    </row>
    <row r="81" spans="1:9" x14ac:dyDescent="0.2">
      <c r="A81" t="s">
        <v>457</v>
      </c>
      <c r="B81" t="s">
        <v>23</v>
      </c>
      <c r="C81" s="50">
        <v>43384</v>
      </c>
      <c r="D81" t="s">
        <v>446</v>
      </c>
      <c r="E81">
        <v>-17947.27</v>
      </c>
      <c r="F81" t="s">
        <v>379</v>
      </c>
      <c r="G81" t="s">
        <v>447</v>
      </c>
      <c r="H81">
        <v>181009160103</v>
      </c>
      <c r="I81" t="str">
        <f>CashIntraTable[Portfolio]&amp;VALUE(CashIntraTable[Cash Date])&amp;CashIntraTable[Detail]</f>
        <v>SCBCE433842.1. Redemption</v>
      </c>
    </row>
    <row r="82" spans="1:9" x14ac:dyDescent="0.2">
      <c r="A82" t="s">
        <v>457</v>
      </c>
      <c r="B82" t="s">
        <v>23</v>
      </c>
      <c r="C82" s="50">
        <v>43382</v>
      </c>
      <c r="D82" t="s">
        <v>446</v>
      </c>
      <c r="E82">
        <v>-10000</v>
      </c>
      <c r="F82" t="s">
        <v>380</v>
      </c>
      <c r="G82" t="s">
        <v>447</v>
      </c>
      <c r="H82">
        <v>181009160103</v>
      </c>
      <c r="I82" t="str">
        <f>CashIntraTable[Portfolio]&amp;VALUE(CashIntraTable[Cash Date])&amp;CashIntraTable[Detail]</f>
        <v>SCBCE433822.2. Switch-out</v>
      </c>
    </row>
    <row r="83" spans="1:9" x14ac:dyDescent="0.2">
      <c r="A83" t="s">
        <v>457</v>
      </c>
      <c r="B83" t="s">
        <v>23</v>
      </c>
      <c r="C83" s="50">
        <v>43383</v>
      </c>
      <c r="D83" t="s">
        <v>446</v>
      </c>
      <c r="E83">
        <v>-2000</v>
      </c>
      <c r="F83" t="s">
        <v>380</v>
      </c>
      <c r="G83" t="s">
        <v>447</v>
      </c>
      <c r="H83">
        <v>181009160103</v>
      </c>
      <c r="I83" t="str">
        <f>CashIntraTable[Portfolio]&amp;VALUE(CashIntraTable[Cash Date])&amp;CashIntraTable[Detail]</f>
        <v>SCBCE433832.2. Switch-out</v>
      </c>
    </row>
    <row r="84" spans="1:9" x14ac:dyDescent="0.2">
      <c r="A84" t="s">
        <v>457</v>
      </c>
      <c r="B84" t="s">
        <v>23</v>
      </c>
      <c r="C84" s="50">
        <v>43384</v>
      </c>
      <c r="D84" t="s">
        <v>446</v>
      </c>
      <c r="E84">
        <v>-10000</v>
      </c>
      <c r="F84" t="s">
        <v>380</v>
      </c>
      <c r="G84" t="s">
        <v>447</v>
      </c>
      <c r="H84">
        <v>181009160103</v>
      </c>
      <c r="I84" t="str">
        <f>CashIntraTable[Portfolio]&amp;VALUE(CashIntraTable[Cash Date])&amp;CashIntraTable[Detail]</f>
        <v>SCBCE433842.2. Switch-out</v>
      </c>
    </row>
    <row r="85" spans="1:9" x14ac:dyDescent="0.2">
      <c r="A85" t="s">
        <v>458</v>
      </c>
      <c r="B85" t="s">
        <v>23</v>
      </c>
      <c r="C85" s="50">
        <v>43382</v>
      </c>
      <c r="D85" t="s">
        <v>446</v>
      </c>
      <c r="E85">
        <v>1141148.42</v>
      </c>
      <c r="F85" t="s">
        <v>377</v>
      </c>
      <c r="G85" t="s">
        <v>447</v>
      </c>
      <c r="H85">
        <v>181009160103</v>
      </c>
      <c r="I85" t="str">
        <f>CashIntraTable[Portfolio]&amp;VALUE(CashIntraTable[Cash Date])&amp;CashIntraTable[Detail]</f>
        <v>SCBCEH433821.1. Subscription</v>
      </c>
    </row>
    <row r="86" spans="1:9" x14ac:dyDescent="0.2">
      <c r="A86" t="s">
        <v>458</v>
      </c>
      <c r="B86" t="s">
        <v>23</v>
      </c>
      <c r="C86" s="50">
        <v>43383</v>
      </c>
      <c r="D86" t="s">
        <v>446</v>
      </c>
      <c r="E86">
        <v>1071000</v>
      </c>
      <c r="F86" t="s">
        <v>377</v>
      </c>
      <c r="G86" t="s">
        <v>447</v>
      </c>
      <c r="H86">
        <v>181009160103</v>
      </c>
      <c r="I86" t="str">
        <f>CashIntraTable[Portfolio]&amp;VALUE(CashIntraTable[Cash Date])&amp;CashIntraTable[Detail]</f>
        <v>SCBCEH433831.1. Subscription</v>
      </c>
    </row>
    <row r="87" spans="1:9" x14ac:dyDescent="0.2">
      <c r="A87" t="s">
        <v>458</v>
      </c>
      <c r="B87" t="s">
        <v>23</v>
      </c>
      <c r="C87" s="50">
        <v>43382</v>
      </c>
      <c r="D87" t="s">
        <v>446</v>
      </c>
      <c r="E87">
        <v>1535404.86</v>
      </c>
      <c r="F87" t="s">
        <v>378</v>
      </c>
      <c r="G87" t="s">
        <v>447</v>
      </c>
      <c r="H87">
        <v>181009160103</v>
      </c>
      <c r="I87" t="str">
        <f>CashIntraTable[Portfolio]&amp;VALUE(CashIntraTable[Cash Date])&amp;CashIntraTable[Detail]</f>
        <v>SCBCEH433821.2. Switch-in</v>
      </c>
    </row>
    <row r="88" spans="1:9" x14ac:dyDescent="0.2">
      <c r="A88" t="s">
        <v>458</v>
      </c>
      <c r="B88" t="s">
        <v>23</v>
      </c>
      <c r="C88" s="50">
        <v>43383</v>
      </c>
      <c r="D88" t="s">
        <v>446</v>
      </c>
      <c r="E88">
        <v>61000</v>
      </c>
      <c r="F88" t="s">
        <v>378</v>
      </c>
      <c r="G88" t="s">
        <v>447</v>
      </c>
      <c r="H88">
        <v>181009160103</v>
      </c>
      <c r="I88" t="str">
        <f>CashIntraTable[Portfolio]&amp;VALUE(CashIntraTable[Cash Date])&amp;CashIntraTable[Detail]</f>
        <v>SCBCEH433831.2. Switch-in</v>
      </c>
    </row>
    <row r="89" spans="1:9" x14ac:dyDescent="0.2">
      <c r="A89" t="s">
        <v>458</v>
      </c>
      <c r="B89" t="s">
        <v>23</v>
      </c>
      <c r="C89" s="50">
        <v>43383</v>
      </c>
      <c r="D89" t="s">
        <v>446</v>
      </c>
      <c r="E89">
        <v>-3985084.85</v>
      </c>
      <c r="F89" t="s">
        <v>379</v>
      </c>
      <c r="G89" t="s">
        <v>447</v>
      </c>
      <c r="H89">
        <v>181009160103</v>
      </c>
      <c r="I89" t="str">
        <f>CashIntraTable[Portfolio]&amp;VALUE(CashIntraTable[Cash Date])&amp;CashIntraTable[Detail]</f>
        <v>SCBCEH433832.1. Redemption</v>
      </c>
    </row>
    <row r="90" spans="1:9" x14ac:dyDescent="0.2">
      <c r="A90" t="s">
        <v>458</v>
      </c>
      <c r="B90" t="s">
        <v>23</v>
      </c>
      <c r="C90" s="50">
        <v>43384</v>
      </c>
      <c r="D90" t="s">
        <v>446</v>
      </c>
      <c r="E90">
        <v>-7870045.5899999999</v>
      </c>
      <c r="F90" t="s">
        <v>379</v>
      </c>
      <c r="G90" t="s">
        <v>447</v>
      </c>
      <c r="H90">
        <v>181009160103</v>
      </c>
      <c r="I90" t="str">
        <f>CashIntraTable[Portfolio]&amp;VALUE(CashIntraTable[Cash Date])&amp;CashIntraTable[Detail]</f>
        <v>SCBCEH433842.1. Redemption</v>
      </c>
    </row>
    <row r="91" spans="1:9" x14ac:dyDescent="0.2">
      <c r="A91" t="s">
        <v>458</v>
      </c>
      <c r="B91" t="s">
        <v>23</v>
      </c>
      <c r="C91" s="50">
        <v>43382</v>
      </c>
      <c r="D91" t="s">
        <v>446</v>
      </c>
      <c r="E91">
        <v>-1302859.57</v>
      </c>
      <c r="F91" t="s">
        <v>380</v>
      </c>
      <c r="G91" t="s">
        <v>447</v>
      </c>
      <c r="H91">
        <v>181009160103</v>
      </c>
      <c r="I91" t="str">
        <f>CashIntraTable[Portfolio]&amp;VALUE(CashIntraTable[Cash Date])&amp;CashIntraTable[Detail]</f>
        <v>SCBCEH433822.2. Switch-out</v>
      </c>
    </row>
    <row r="92" spans="1:9" x14ac:dyDescent="0.2">
      <c r="A92" t="s">
        <v>458</v>
      </c>
      <c r="B92" t="s">
        <v>23</v>
      </c>
      <c r="C92" s="50">
        <v>43383</v>
      </c>
      <c r="D92" t="s">
        <v>446</v>
      </c>
      <c r="E92">
        <v>-57867.18</v>
      </c>
      <c r="F92" t="s">
        <v>380</v>
      </c>
      <c r="G92" t="s">
        <v>447</v>
      </c>
      <c r="H92">
        <v>181009160103</v>
      </c>
      <c r="I92" t="str">
        <f>CashIntraTable[Portfolio]&amp;VALUE(CashIntraTable[Cash Date])&amp;CashIntraTable[Detail]</f>
        <v>SCBCEH433832.2. Switch-out</v>
      </c>
    </row>
    <row r="93" spans="1:9" x14ac:dyDescent="0.2">
      <c r="A93" t="s">
        <v>459</v>
      </c>
      <c r="B93" t="s">
        <v>23</v>
      </c>
      <c r="C93" s="50">
        <v>43382</v>
      </c>
      <c r="D93" t="s">
        <v>446</v>
      </c>
      <c r="E93">
        <v>4104308.43</v>
      </c>
      <c r="F93" t="s">
        <v>377</v>
      </c>
      <c r="G93" t="s">
        <v>447</v>
      </c>
      <c r="H93">
        <v>181009160103</v>
      </c>
      <c r="I93" t="str">
        <f>CashIntraTable[Portfolio]&amp;VALUE(CashIntraTable[Cash Date])&amp;CashIntraTable[Detail]</f>
        <v>SCBCHA433821.1. Subscription</v>
      </c>
    </row>
    <row r="94" spans="1:9" x14ac:dyDescent="0.2">
      <c r="A94" t="s">
        <v>459</v>
      </c>
      <c r="B94" t="s">
        <v>23</v>
      </c>
      <c r="C94" s="50">
        <v>43383</v>
      </c>
      <c r="D94" t="s">
        <v>446</v>
      </c>
      <c r="E94">
        <v>3522300</v>
      </c>
      <c r="F94" t="s">
        <v>377</v>
      </c>
      <c r="G94" t="s">
        <v>447</v>
      </c>
      <c r="H94">
        <v>181009160103</v>
      </c>
      <c r="I94" t="str">
        <f>CashIntraTable[Portfolio]&amp;VALUE(CashIntraTable[Cash Date])&amp;CashIntraTable[Detail]</f>
        <v>SCBCHA433831.1. Subscription</v>
      </c>
    </row>
    <row r="95" spans="1:9" x14ac:dyDescent="0.2">
      <c r="A95" t="s">
        <v>459</v>
      </c>
      <c r="B95" t="s">
        <v>23</v>
      </c>
      <c r="C95" s="50">
        <v>43382</v>
      </c>
      <c r="D95" t="s">
        <v>446</v>
      </c>
      <c r="E95">
        <v>5024847.4400000004</v>
      </c>
      <c r="F95" t="s">
        <v>381</v>
      </c>
      <c r="G95" t="s">
        <v>447</v>
      </c>
      <c r="H95">
        <v>181009160103</v>
      </c>
      <c r="I95" t="str">
        <f>CashIntraTable[Portfolio]&amp;VALUE(CashIntraTable[Cash Date])&amp;CashIntraTable[Detail]</f>
        <v>SCBCHA433821.1. Subscription (Chq)</v>
      </c>
    </row>
    <row r="96" spans="1:9" x14ac:dyDescent="0.2">
      <c r="A96" t="s">
        <v>459</v>
      </c>
      <c r="B96" t="s">
        <v>23</v>
      </c>
      <c r="C96" s="50">
        <v>43382</v>
      </c>
      <c r="D96" t="s">
        <v>446</v>
      </c>
      <c r="E96">
        <v>5161000</v>
      </c>
      <c r="F96" t="s">
        <v>378</v>
      </c>
      <c r="G96" t="s">
        <v>447</v>
      </c>
      <c r="H96">
        <v>181009160103</v>
      </c>
      <c r="I96" t="str">
        <f>CashIntraTable[Portfolio]&amp;VALUE(CashIntraTable[Cash Date])&amp;CashIntraTable[Detail]</f>
        <v>SCBCHA433821.2. Switch-in</v>
      </c>
    </row>
    <row r="97" spans="1:9" x14ac:dyDescent="0.2">
      <c r="A97" t="s">
        <v>459</v>
      </c>
      <c r="B97" t="s">
        <v>23</v>
      </c>
      <c r="C97" s="50">
        <v>43383</v>
      </c>
      <c r="D97" t="s">
        <v>446</v>
      </c>
      <c r="E97">
        <v>18062599.690000001</v>
      </c>
      <c r="F97" t="s">
        <v>378</v>
      </c>
      <c r="G97" t="s">
        <v>447</v>
      </c>
      <c r="H97">
        <v>181009160103</v>
      </c>
      <c r="I97" t="str">
        <f>CashIntraTable[Portfolio]&amp;VALUE(CashIntraTable[Cash Date])&amp;CashIntraTable[Detail]</f>
        <v>SCBCHA433831.2. Switch-in</v>
      </c>
    </row>
    <row r="98" spans="1:9" x14ac:dyDescent="0.2">
      <c r="A98" t="s">
        <v>459</v>
      </c>
      <c r="B98" t="s">
        <v>23</v>
      </c>
      <c r="C98" s="50">
        <v>43384</v>
      </c>
      <c r="D98" t="s">
        <v>446</v>
      </c>
      <c r="E98">
        <v>99999.53</v>
      </c>
      <c r="F98" t="s">
        <v>378</v>
      </c>
      <c r="G98" t="s">
        <v>447</v>
      </c>
      <c r="H98">
        <v>181009160103</v>
      </c>
      <c r="I98" t="str">
        <f>CashIntraTable[Portfolio]&amp;VALUE(CashIntraTable[Cash Date])&amp;CashIntraTable[Detail]</f>
        <v>SCBCHA433841.2. Switch-in</v>
      </c>
    </row>
    <row r="99" spans="1:9" x14ac:dyDescent="0.2">
      <c r="A99" t="s">
        <v>459</v>
      </c>
      <c r="B99" t="s">
        <v>23</v>
      </c>
      <c r="C99" s="50">
        <v>43385</v>
      </c>
      <c r="D99" t="s">
        <v>446</v>
      </c>
      <c r="E99">
        <v>2951.66</v>
      </c>
      <c r="F99" t="s">
        <v>378</v>
      </c>
      <c r="G99" t="s">
        <v>447</v>
      </c>
      <c r="H99">
        <v>181009160103</v>
      </c>
      <c r="I99" t="str">
        <f>CashIntraTable[Portfolio]&amp;VALUE(CashIntraTable[Cash Date])&amp;CashIntraTable[Detail]</f>
        <v>SCBCHA433851.2. Switch-in</v>
      </c>
    </row>
    <row r="100" spans="1:9" x14ac:dyDescent="0.2">
      <c r="A100" t="s">
        <v>459</v>
      </c>
      <c r="B100" t="s">
        <v>23</v>
      </c>
      <c r="C100" s="50">
        <v>43382</v>
      </c>
      <c r="D100" t="s">
        <v>446</v>
      </c>
      <c r="E100">
        <v>-1095832.3899999999</v>
      </c>
      <c r="F100" t="s">
        <v>379</v>
      </c>
      <c r="G100" t="s">
        <v>447</v>
      </c>
      <c r="H100">
        <v>181009160103</v>
      </c>
      <c r="I100" t="str">
        <f>CashIntraTable[Portfolio]&amp;VALUE(CashIntraTable[Cash Date])&amp;CashIntraTable[Detail]</f>
        <v>SCBCHA433822.1. Redemption</v>
      </c>
    </row>
    <row r="101" spans="1:9" x14ac:dyDescent="0.2">
      <c r="A101" t="s">
        <v>459</v>
      </c>
      <c r="B101" t="s">
        <v>23</v>
      </c>
      <c r="C101" s="50">
        <v>43383</v>
      </c>
      <c r="D101" t="s">
        <v>446</v>
      </c>
      <c r="E101">
        <v>-512673</v>
      </c>
      <c r="F101" t="s">
        <v>379</v>
      </c>
      <c r="G101" t="s">
        <v>447</v>
      </c>
      <c r="H101">
        <v>181009160103</v>
      </c>
      <c r="I101" t="str">
        <f>CashIntraTable[Portfolio]&amp;VALUE(CashIntraTable[Cash Date])&amp;CashIntraTable[Detail]</f>
        <v>SCBCHA433832.1. Redemption</v>
      </c>
    </row>
    <row r="102" spans="1:9" x14ac:dyDescent="0.2">
      <c r="A102" t="s">
        <v>459</v>
      </c>
      <c r="B102" t="s">
        <v>23</v>
      </c>
      <c r="C102" s="50">
        <v>43384</v>
      </c>
      <c r="D102" t="s">
        <v>446</v>
      </c>
      <c r="E102">
        <v>-594699.59</v>
      </c>
      <c r="F102" t="s">
        <v>379</v>
      </c>
      <c r="G102" t="s">
        <v>447</v>
      </c>
      <c r="H102">
        <v>181009160103</v>
      </c>
      <c r="I102" t="str">
        <f>CashIntraTable[Portfolio]&amp;VALUE(CashIntraTable[Cash Date])&amp;CashIntraTable[Detail]</f>
        <v>SCBCHA433842.1. Redemption</v>
      </c>
    </row>
    <row r="103" spans="1:9" x14ac:dyDescent="0.2">
      <c r="A103" t="s">
        <v>459</v>
      </c>
      <c r="B103" t="s">
        <v>23</v>
      </c>
      <c r="C103" s="50">
        <v>43382</v>
      </c>
      <c r="D103" t="s">
        <v>446</v>
      </c>
      <c r="E103">
        <v>-422214.06</v>
      </c>
      <c r="F103" t="s">
        <v>380</v>
      </c>
      <c r="G103" t="s">
        <v>447</v>
      </c>
      <c r="H103">
        <v>181009160103</v>
      </c>
      <c r="I103" t="str">
        <f>CashIntraTable[Portfolio]&amp;VALUE(CashIntraTable[Cash Date])&amp;CashIntraTable[Detail]</f>
        <v>SCBCHA433822.2. Switch-out</v>
      </c>
    </row>
    <row r="104" spans="1:9" x14ac:dyDescent="0.2">
      <c r="A104" t="s">
        <v>459</v>
      </c>
      <c r="B104" t="s">
        <v>23</v>
      </c>
      <c r="C104" s="50">
        <v>43384</v>
      </c>
      <c r="D104" t="s">
        <v>446</v>
      </c>
      <c r="E104">
        <v>-2208787.8199999998</v>
      </c>
      <c r="F104" t="s">
        <v>380</v>
      </c>
      <c r="G104" t="s">
        <v>447</v>
      </c>
      <c r="H104">
        <v>181009160103</v>
      </c>
      <c r="I104" t="str">
        <f>CashIntraTable[Portfolio]&amp;VALUE(CashIntraTable[Cash Date])&amp;CashIntraTable[Detail]</f>
        <v>SCBCHA433842.2. Switch-out</v>
      </c>
    </row>
    <row r="105" spans="1:9" x14ac:dyDescent="0.2">
      <c r="A105" t="s">
        <v>460</v>
      </c>
      <c r="B105" t="s">
        <v>23</v>
      </c>
      <c r="C105" s="50">
        <v>43383</v>
      </c>
      <c r="D105" t="s">
        <v>446</v>
      </c>
      <c r="E105">
        <v>190200</v>
      </c>
      <c r="F105" t="s">
        <v>377</v>
      </c>
      <c r="G105" t="s">
        <v>447</v>
      </c>
      <c r="H105">
        <v>181009160103</v>
      </c>
      <c r="I105" t="str">
        <f>CashIntraTable[Portfolio]&amp;VALUE(CashIntraTable[Cash Date])&amp;CashIntraTable[Detail]</f>
        <v>SCBCHEQ433831.1. Subscription</v>
      </c>
    </row>
    <row r="106" spans="1:9" x14ac:dyDescent="0.2">
      <c r="A106" t="s">
        <v>460</v>
      </c>
      <c r="B106" t="s">
        <v>23</v>
      </c>
      <c r="C106" s="50">
        <v>43383</v>
      </c>
      <c r="D106" t="s">
        <v>446</v>
      </c>
      <c r="E106">
        <v>2070000</v>
      </c>
      <c r="F106" t="s">
        <v>378</v>
      </c>
      <c r="G106" t="s">
        <v>447</v>
      </c>
      <c r="H106">
        <v>181009160103</v>
      </c>
      <c r="I106" t="str">
        <f>CashIntraTable[Portfolio]&amp;VALUE(CashIntraTable[Cash Date])&amp;CashIntraTable[Detail]</f>
        <v>SCBCHEQ433831.2. Switch-in</v>
      </c>
    </row>
    <row r="107" spans="1:9" x14ac:dyDescent="0.2">
      <c r="A107" t="s">
        <v>460</v>
      </c>
      <c r="B107" t="s">
        <v>23</v>
      </c>
      <c r="C107" s="50">
        <v>43382</v>
      </c>
      <c r="D107" t="s">
        <v>446</v>
      </c>
      <c r="E107">
        <v>-99548.83</v>
      </c>
      <c r="F107" t="s">
        <v>379</v>
      </c>
      <c r="G107" t="s">
        <v>447</v>
      </c>
      <c r="H107">
        <v>181009160103</v>
      </c>
      <c r="I107" t="str">
        <f>CashIntraTable[Portfolio]&amp;VALUE(CashIntraTable[Cash Date])&amp;CashIntraTable[Detail]</f>
        <v>SCBCHEQ433822.1. Redemption</v>
      </c>
    </row>
    <row r="108" spans="1:9" x14ac:dyDescent="0.2">
      <c r="A108" t="s">
        <v>460</v>
      </c>
      <c r="B108" t="s">
        <v>23</v>
      </c>
      <c r="C108" s="50">
        <v>43383</v>
      </c>
      <c r="D108" t="s">
        <v>446</v>
      </c>
      <c r="E108">
        <v>-13050981.85</v>
      </c>
      <c r="F108" t="s">
        <v>379</v>
      </c>
      <c r="G108" t="s">
        <v>447</v>
      </c>
      <c r="H108">
        <v>181009160103</v>
      </c>
      <c r="I108" t="str">
        <f>CashIntraTable[Portfolio]&amp;VALUE(CashIntraTable[Cash Date])&amp;CashIntraTable[Detail]</f>
        <v>SCBCHEQ433832.1. Redemption</v>
      </c>
    </row>
    <row r="109" spans="1:9" x14ac:dyDescent="0.2">
      <c r="A109" t="s">
        <v>460</v>
      </c>
      <c r="B109" t="s">
        <v>23</v>
      </c>
      <c r="C109" s="50">
        <v>43384</v>
      </c>
      <c r="D109" t="s">
        <v>446</v>
      </c>
      <c r="E109">
        <v>-181639.31</v>
      </c>
      <c r="F109" t="s">
        <v>379</v>
      </c>
      <c r="G109" t="s">
        <v>447</v>
      </c>
      <c r="H109">
        <v>181009160103</v>
      </c>
      <c r="I109" t="str">
        <f>CashIntraTable[Portfolio]&amp;VALUE(CashIntraTable[Cash Date])&amp;CashIntraTable[Detail]</f>
        <v>SCBCHEQ433842.1. Redemption</v>
      </c>
    </row>
    <row r="110" spans="1:9" x14ac:dyDescent="0.2">
      <c r="A110" t="s">
        <v>460</v>
      </c>
      <c r="B110" t="s">
        <v>23</v>
      </c>
      <c r="C110" s="50">
        <v>43385</v>
      </c>
      <c r="D110" t="s">
        <v>446</v>
      </c>
      <c r="E110">
        <v>-141199.39000000001</v>
      </c>
      <c r="F110" t="s">
        <v>379</v>
      </c>
      <c r="G110" t="s">
        <v>447</v>
      </c>
      <c r="H110">
        <v>181009160103</v>
      </c>
      <c r="I110" t="str">
        <f>CashIntraTable[Portfolio]&amp;VALUE(CashIntraTable[Cash Date])&amp;CashIntraTable[Detail]</f>
        <v>SCBCHEQ433852.1. Redemption</v>
      </c>
    </row>
    <row r="111" spans="1:9" x14ac:dyDescent="0.2">
      <c r="A111" t="s">
        <v>460</v>
      </c>
      <c r="B111" t="s">
        <v>23</v>
      </c>
      <c r="C111" s="50">
        <v>43383</v>
      </c>
      <c r="D111" t="s">
        <v>446</v>
      </c>
      <c r="E111">
        <v>-30000</v>
      </c>
      <c r="F111" t="s">
        <v>380</v>
      </c>
      <c r="G111" t="s">
        <v>447</v>
      </c>
      <c r="H111">
        <v>181009160103</v>
      </c>
      <c r="I111" t="str">
        <f>CashIntraTable[Portfolio]&amp;VALUE(CashIntraTable[Cash Date])&amp;CashIntraTable[Detail]</f>
        <v>SCBCHEQ433832.2. Switch-out</v>
      </c>
    </row>
    <row r="112" spans="1:9" x14ac:dyDescent="0.2">
      <c r="A112" t="s">
        <v>460</v>
      </c>
      <c r="B112" t="s">
        <v>23</v>
      </c>
      <c r="C112" s="50">
        <v>43384</v>
      </c>
      <c r="D112" t="s">
        <v>446</v>
      </c>
      <c r="E112">
        <v>-4921.29</v>
      </c>
      <c r="F112" t="s">
        <v>380</v>
      </c>
      <c r="G112" t="s">
        <v>447</v>
      </c>
      <c r="H112">
        <v>181009160103</v>
      </c>
      <c r="I112" t="str">
        <f>CashIntraTable[Portfolio]&amp;VALUE(CashIntraTable[Cash Date])&amp;CashIntraTable[Detail]</f>
        <v>SCBCHEQ433842.2. Switch-out</v>
      </c>
    </row>
    <row r="113" spans="1:9" x14ac:dyDescent="0.2">
      <c r="A113" t="s">
        <v>460</v>
      </c>
      <c r="B113" t="s">
        <v>23</v>
      </c>
      <c r="C113" s="50">
        <v>43385</v>
      </c>
      <c r="D113" t="s">
        <v>446</v>
      </c>
      <c r="E113">
        <v>-83976.45</v>
      </c>
      <c r="F113" t="s">
        <v>380</v>
      </c>
      <c r="G113" t="s">
        <v>447</v>
      </c>
      <c r="H113">
        <v>181009160103</v>
      </c>
      <c r="I113" t="str">
        <f>CashIntraTable[Portfolio]&amp;VALUE(CashIntraTable[Cash Date])&amp;CashIntraTable[Detail]</f>
        <v>SCBCHEQ433852.2. Switch-out</v>
      </c>
    </row>
    <row r="114" spans="1:9" x14ac:dyDescent="0.2">
      <c r="A114" t="s">
        <v>461</v>
      </c>
      <c r="B114" t="s">
        <v>23</v>
      </c>
      <c r="C114" s="50">
        <v>43382</v>
      </c>
      <c r="D114" t="s">
        <v>446</v>
      </c>
      <c r="E114">
        <v>46455.25</v>
      </c>
      <c r="F114" t="s">
        <v>377</v>
      </c>
      <c r="G114" t="s">
        <v>447</v>
      </c>
      <c r="H114">
        <v>181009160103</v>
      </c>
      <c r="I114" t="str">
        <f>CashIntraTable[Portfolio]&amp;VALUE(CashIntraTable[Cash Date])&amp;CashIntraTable[Detail]</f>
        <v>SCBDAFUND433821.1. Subscription</v>
      </c>
    </row>
    <row r="115" spans="1:9" x14ac:dyDescent="0.2">
      <c r="A115" t="s">
        <v>462</v>
      </c>
      <c r="B115" t="s">
        <v>23</v>
      </c>
      <c r="C115" s="50">
        <v>43383</v>
      </c>
      <c r="D115" t="s">
        <v>446</v>
      </c>
      <c r="E115">
        <v>695443.22</v>
      </c>
      <c r="F115" t="s">
        <v>377</v>
      </c>
      <c r="G115" t="s">
        <v>447</v>
      </c>
      <c r="H115">
        <v>181009160103</v>
      </c>
      <c r="I115" t="str">
        <f>CashIntraTable[Portfolio]&amp;VALUE(CashIntraTable[Cash Date])&amp;CashIntraTable[Detail]</f>
        <v>SCBDIGI433831.1. Subscription</v>
      </c>
    </row>
    <row r="116" spans="1:9" x14ac:dyDescent="0.2">
      <c r="A116" t="s">
        <v>462</v>
      </c>
      <c r="B116" t="s">
        <v>23</v>
      </c>
      <c r="C116" s="50">
        <v>43383</v>
      </c>
      <c r="D116" t="s">
        <v>446</v>
      </c>
      <c r="E116">
        <v>4747890.1900000004</v>
      </c>
      <c r="F116" t="s">
        <v>378</v>
      </c>
      <c r="G116" t="s">
        <v>447</v>
      </c>
      <c r="H116">
        <v>181009160103</v>
      </c>
      <c r="I116" t="str">
        <f>CashIntraTable[Portfolio]&amp;VALUE(CashIntraTable[Cash Date])&amp;CashIntraTable[Detail]</f>
        <v>SCBDIGI433831.2. Switch-in</v>
      </c>
    </row>
    <row r="117" spans="1:9" x14ac:dyDescent="0.2">
      <c r="A117" t="s">
        <v>462</v>
      </c>
      <c r="B117" t="s">
        <v>23</v>
      </c>
      <c r="C117" s="50">
        <v>43384</v>
      </c>
      <c r="D117" t="s">
        <v>446</v>
      </c>
      <c r="E117">
        <v>2005000</v>
      </c>
      <c r="F117" t="s">
        <v>378</v>
      </c>
      <c r="G117" t="s">
        <v>447</v>
      </c>
      <c r="H117">
        <v>181009160103</v>
      </c>
      <c r="I117" t="str">
        <f>CashIntraTable[Portfolio]&amp;VALUE(CashIntraTable[Cash Date])&amp;CashIntraTable[Detail]</f>
        <v>SCBDIGI433841.2. Switch-in</v>
      </c>
    </row>
    <row r="118" spans="1:9" x14ac:dyDescent="0.2">
      <c r="A118" t="s">
        <v>462</v>
      </c>
      <c r="B118" t="s">
        <v>23</v>
      </c>
      <c r="C118" s="50">
        <v>43385</v>
      </c>
      <c r="D118" t="s">
        <v>446</v>
      </c>
      <c r="E118">
        <v>827622.56</v>
      </c>
      <c r="F118" t="s">
        <v>378</v>
      </c>
      <c r="G118" t="s">
        <v>447</v>
      </c>
      <c r="H118">
        <v>181009160103</v>
      </c>
      <c r="I118" t="str">
        <f>CashIntraTable[Portfolio]&amp;VALUE(CashIntraTable[Cash Date])&amp;CashIntraTable[Detail]</f>
        <v>SCBDIGI433851.2. Switch-in</v>
      </c>
    </row>
    <row r="119" spans="1:9" x14ac:dyDescent="0.2">
      <c r="A119" t="s">
        <v>462</v>
      </c>
      <c r="B119" t="s">
        <v>23</v>
      </c>
      <c r="C119" s="50">
        <v>43390</v>
      </c>
      <c r="D119" t="s">
        <v>446</v>
      </c>
      <c r="E119">
        <v>26511.21</v>
      </c>
      <c r="F119" t="s">
        <v>378</v>
      </c>
      <c r="G119" t="s">
        <v>447</v>
      </c>
      <c r="H119">
        <v>181009160103</v>
      </c>
      <c r="I119" t="str">
        <f>CashIntraTable[Portfolio]&amp;VALUE(CashIntraTable[Cash Date])&amp;CashIntraTable[Detail]</f>
        <v>SCBDIGI433901.2. Switch-in</v>
      </c>
    </row>
    <row r="120" spans="1:9" x14ac:dyDescent="0.2">
      <c r="A120" t="s">
        <v>462</v>
      </c>
      <c r="B120" t="s">
        <v>23</v>
      </c>
      <c r="C120" s="50">
        <v>43382</v>
      </c>
      <c r="D120" t="s">
        <v>446</v>
      </c>
      <c r="E120">
        <v>-6543247.0899999999</v>
      </c>
      <c r="F120" t="s">
        <v>379</v>
      </c>
      <c r="G120" t="s">
        <v>447</v>
      </c>
      <c r="H120">
        <v>181009160103</v>
      </c>
      <c r="I120" t="str">
        <f>CashIntraTable[Portfolio]&amp;VALUE(CashIntraTable[Cash Date])&amp;CashIntraTable[Detail]</f>
        <v>SCBDIGI433822.1. Redemption</v>
      </c>
    </row>
    <row r="121" spans="1:9" x14ac:dyDescent="0.2">
      <c r="A121" t="s">
        <v>462</v>
      </c>
      <c r="B121" t="s">
        <v>23</v>
      </c>
      <c r="C121" s="50">
        <v>43383</v>
      </c>
      <c r="D121" t="s">
        <v>446</v>
      </c>
      <c r="E121">
        <v>-201875.21</v>
      </c>
      <c r="F121" t="s">
        <v>379</v>
      </c>
      <c r="G121" t="s">
        <v>447</v>
      </c>
      <c r="H121">
        <v>181009160103</v>
      </c>
      <c r="I121" t="str">
        <f>CashIntraTable[Portfolio]&amp;VALUE(CashIntraTable[Cash Date])&amp;CashIntraTable[Detail]</f>
        <v>SCBDIGI433832.1. Redemption</v>
      </c>
    </row>
    <row r="122" spans="1:9" x14ac:dyDescent="0.2">
      <c r="A122" t="s">
        <v>462</v>
      </c>
      <c r="B122" t="s">
        <v>23</v>
      </c>
      <c r="C122" s="50">
        <v>43384</v>
      </c>
      <c r="D122" t="s">
        <v>446</v>
      </c>
      <c r="E122">
        <v>-562713.59</v>
      </c>
      <c r="F122" t="s">
        <v>379</v>
      </c>
      <c r="G122" t="s">
        <v>447</v>
      </c>
      <c r="H122">
        <v>181009160103</v>
      </c>
      <c r="I122" t="str">
        <f>CashIntraTable[Portfolio]&amp;VALUE(CashIntraTable[Cash Date])&amp;CashIntraTable[Detail]</f>
        <v>SCBDIGI433842.1. Redemption</v>
      </c>
    </row>
    <row r="123" spans="1:9" x14ac:dyDescent="0.2">
      <c r="A123" t="s">
        <v>462</v>
      </c>
      <c r="B123" t="s">
        <v>23</v>
      </c>
      <c r="C123" s="50">
        <v>43385</v>
      </c>
      <c r="D123" t="s">
        <v>446</v>
      </c>
      <c r="E123">
        <v>-1785472.68</v>
      </c>
      <c r="F123" t="s">
        <v>379</v>
      </c>
      <c r="G123" t="s">
        <v>447</v>
      </c>
      <c r="H123">
        <v>181009160103</v>
      </c>
      <c r="I123" t="str">
        <f>CashIntraTable[Portfolio]&amp;VALUE(CashIntraTable[Cash Date])&amp;CashIntraTable[Detail]</f>
        <v>SCBDIGI433852.1. Redemption</v>
      </c>
    </row>
    <row r="124" spans="1:9" x14ac:dyDescent="0.2">
      <c r="A124" t="s">
        <v>462</v>
      </c>
      <c r="B124" t="s">
        <v>23</v>
      </c>
      <c r="C124" s="50">
        <v>43389</v>
      </c>
      <c r="D124" t="s">
        <v>446</v>
      </c>
      <c r="E124">
        <v>-2669856.84</v>
      </c>
      <c r="F124" t="s">
        <v>379</v>
      </c>
      <c r="G124" t="s">
        <v>447</v>
      </c>
      <c r="H124">
        <v>181009160103</v>
      </c>
      <c r="I124" t="str">
        <f>CashIntraTable[Portfolio]&amp;VALUE(CashIntraTable[Cash Date])&amp;CashIntraTable[Detail]</f>
        <v>SCBDIGI433892.1. Redemption</v>
      </c>
    </row>
    <row r="125" spans="1:9" x14ac:dyDescent="0.2">
      <c r="A125" t="s">
        <v>462</v>
      </c>
      <c r="B125" t="s">
        <v>23</v>
      </c>
      <c r="C125" s="50">
        <v>43382</v>
      </c>
      <c r="D125" t="s">
        <v>446</v>
      </c>
      <c r="E125">
        <v>-677813.48</v>
      </c>
      <c r="F125" t="s">
        <v>380</v>
      </c>
      <c r="G125" t="s">
        <v>447</v>
      </c>
      <c r="H125">
        <v>181009160103</v>
      </c>
      <c r="I125" t="str">
        <f>CashIntraTable[Portfolio]&amp;VALUE(CashIntraTable[Cash Date])&amp;CashIntraTable[Detail]</f>
        <v>SCBDIGI433822.2. Switch-out</v>
      </c>
    </row>
    <row r="126" spans="1:9" x14ac:dyDescent="0.2">
      <c r="A126" t="s">
        <v>462</v>
      </c>
      <c r="B126" t="s">
        <v>23</v>
      </c>
      <c r="C126" s="50">
        <v>43383</v>
      </c>
      <c r="D126" t="s">
        <v>446</v>
      </c>
      <c r="E126">
        <v>-3592361.57</v>
      </c>
      <c r="F126" t="s">
        <v>380</v>
      </c>
      <c r="G126" t="s">
        <v>447</v>
      </c>
      <c r="H126">
        <v>181009160103</v>
      </c>
      <c r="I126" t="str">
        <f>CashIntraTable[Portfolio]&amp;VALUE(CashIntraTable[Cash Date])&amp;CashIntraTable[Detail]</f>
        <v>SCBDIGI433832.2. Switch-out</v>
      </c>
    </row>
    <row r="127" spans="1:9" x14ac:dyDescent="0.2">
      <c r="A127" t="s">
        <v>462</v>
      </c>
      <c r="B127" t="s">
        <v>23</v>
      </c>
      <c r="C127" s="50">
        <v>43384</v>
      </c>
      <c r="D127" t="s">
        <v>446</v>
      </c>
      <c r="E127">
        <v>-1978245.64</v>
      </c>
      <c r="F127" t="s">
        <v>380</v>
      </c>
      <c r="G127" t="s">
        <v>447</v>
      </c>
      <c r="H127">
        <v>181009160103</v>
      </c>
      <c r="I127" t="str">
        <f>CashIntraTable[Portfolio]&amp;VALUE(CashIntraTable[Cash Date])&amp;CashIntraTable[Detail]</f>
        <v>SCBDIGI433842.2. Switch-out</v>
      </c>
    </row>
    <row r="128" spans="1:9" x14ac:dyDescent="0.2">
      <c r="A128" t="s">
        <v>462</v>
      </c>
      <c r="B128" t="s">
        <v>23</v>
      </c>
      <c r="C128" s="50">
        <v>43389</v>
      </c>
      <c r="D128" t="s">
        <v>446</v>
      </c>
      <c r="E128">
        <v>-1175081.55</v>
      </c>
      <c r="F128" t="s">
        <v>380</v>
      </c>
      <c r="G128" t="s">
        <v>447</v>
      </c>
      <c r="H128">
        <v>181009160103</v>
      </c>
      <c r="I128" t="str">
        <f>CashIntraTable[Portfolio]&amp;VALUE(CashIntraTable[Cash Date])&amp;CashIntraTable[Detail]</f>
        <v>SCBDIGI433892.2. Switch-out</v>
      </c>
    </row>
    <row r="129" spans="1:9" x14ac:dyDescent="0.2">
      <c r="A129" t="s">
        <v>463</v>
      </c>
      <c r="B129" t="s">
        <v>23</v>
      </c>
      <c r="C129" s="50">
        <v>43382</v>
      </c>
      <c r="D129" t="s">
        <v>446</v>
      </c>
      <c r="E129">
        <v>12767237.76</v>
      </c>
      <c r="F129" t="s">
        <v>377</v>
      </c>
      <c r="G129" t="s">
        <v>447</v>
      </c>
      <c r="H129">
        <v>181009160103</v>
      </c>
      <c r="I129" t="str">
        <f>CashIntraTable[Portfolio]&amp;VALUE(CashIntraTable[Cash Date])&amp;CashIntraTable[Detail]</f>
        <v>SCBDVFUND433821.1. Subscription</v>
      </c>
    </row>
    <row r="130" spans="1:9" x14ac:dyDescent="0.2">
      <c r="A130" t="s">
        <v>463</v>
      </c>
      <c r="B130" t="s">
        <v>23</v>
      </c>
      <c r="C130" s="50">
        <v>43383</v>
      </c>
      <c r="D130" t="s">
        <v>446</v>
      </c>
      <c r="E130">
        <v>23694529.469999999</v>
      </c>
      <c r="F130" t="s">
        <v>377</v>
      </c>
      <c r="G130" t="s">
        <v>447</v>
      </c>
      <c r="H130">
        <v>181009160103</v>
      </c>
      <c r="I130" t="str">
        <f>CashIntraTable[Portfolio]&amp;VALUE(CashIntraTable[Cash Date])&amp;CashIntraTable[Detail]</f>
        <v>SCBDVFUND433831.1. Subscription</v>
      </c>
    </row>
    <row r="131" spans="1:9" x14ac:dyDescent="0.2">
      <c r="A131" t="s">
        <v>463</v>
      </c>
      <c r="B131" t="s">
        <v>23</v>
      </c>
      <c r="C131" s="50">
        <v>43382</v>
      </c>
      <c r="D131" t="s">
        <v>446</v>
      </c>
      <c r="E131">
        <v>1005318.72</v>
      </c>
      <c r="F131" t="s">
        <v>381</v>
      </c>
      <c r="G131" t="s">
        <v>447</v>
      </c>
      <c r="H131">
        <v>181009160103</v>
      </c>
      <c r="I131" t="str">
        <f>CashIntraTable[Portfolio]&amp;VALUE(CashIntraTable[Cash Date])&amp;CashIntraTable[Detail]</f>
        <v>SCBDVFUND433821.1. Subscription (Chq)</v>
      </c>
    </row>
    <row r="132" spans="1:9" x14ac:dyDescent="0.2">
      <c r="A132" t="s">
        <v>463</v>
      </c>
      <c r="B132" t="s">
        <v>23</v>
      </c>
      <c r="C132" s="50">
        <v>43382</v>
      </c>
      <c r="D132" t="s">
        <v>446</v>
      </c>
      <c r="E132">
        <v>18101750.890000001</v>
      </c>
      <c r="F132" t="s">
        <v>378</v>
      </c>
      <c r="G132" t="s">
        <v>447</v>
      </c>
      <c r="H132">
        <v>181009160103</v>
      </c>
      <c r="I132" t="str">
        <f>CashIntraTable[Portfolio]&amp;VALUE(CashIntraTable[Cash Date])&amp;CashIntraTable[Detail]</f>
        <v>SCBDVFUND433821.2. Switch-in</v>
      </c>
    </row>
    <row r="133" spans="1:9" x14ac:dyDescent="0.2">
      <c r="A133" t="s">
        <v>463</v>
      </c>
      <c r="B133" t="s">
        <v>23</v>
      </c>
      <c r="C133" s="50">
        <v>43383</v>
      </c>
      <c r="D133" t="s">
        <v>446</v>
      </c>
      <c r="E133">
        <v>18091370.57</v>
      </c>
      <c r="F133" t="s">
        <v>378</v>
      </c>
      <c r="G133" t="s">
        <v>447</v>
      </c>
      <c r="H133">
        <v>181009160103</v>
      </c>
      <c r="I133" t="str">
        <f>CashIntraTable[Portfolio]&amp;VALUE(CashIntraTable[Cash Date])&amp;CashIntraTable[Detail]</f>
        <v>SCBDVFUND433831.2. Switch-in</v>
      </c>
    </row>
    <row r="134" spans="1:9" x14ac:dyDescent="0.2">
      <c r="A134" t="s">
        <v>463</v>
      </c>
      <c r="B134" t="s">
        <v>23</v>
      </c>
      <c r="C134" s="50">
        <v>43384</v>
      </c>
      <c r="D134" t="s">
        <v>446</v>
      </c>
      <c r="E134">
        <v>2064251.9</v>
      </c>
      <c r="F134" t="s">
        <v>378</v>
      </c>
      <c r="G134" t="s">
        <v>447</v>
      </c>
      <c r="H134">
        <v>181009160103</v>
      </c>
      <c r="I134" t="str">
        <f>CashIntraTable[Portfolio]&amp;VALUE(CashIntraTable[Cash Date])&amp;CashIntraTable[Detail]</f>
        <v>SCBDVFUND433841.2. Switch-in</v>
      </c>
    </row>
    <row r="135" spans="1:9" x14ac:dyDescent="0.2">
      <c r="A135" t="s">
        <v>463</v>
      </c>
      <c r="B135" t="s">
        <v>23</v>
      </c>
      <c r="C135" s="50">
        <v>43385</v>
      </c>
      <c r="D135" t="s">
        <v>446</v>
      </c>
      <c r="E135">
        <v>3500065.99</v>
      </c>
      <c r="F135" t="s">
        <v>378</v>
      </c>
      <c r="G135" t="s">
        <v>447</v>
      </c>
      <c r="H135">
        <v>181009160103</v>
      </c>
      <c r="I135" t="str">
        <f>CashIntraTable[Portfolio]&amp;VALUE(CashIntraTable[Cash Date])&amp;CashIntraTable[Detail]</f>
        <v>SCBDVFUND433851.2. Switch-in</v>
      </c>
    </row>
    <row r="136" spans="1:9" x14ac:dyDescent="0.2">
      <c r="A136" t="s">
        <v>463</v>
      </c>
      <c r="B136" t="s">
        <v>23</v>
      </c>
      <c r="C136" s="50">
        <v>43389</v>
      </c>
      <c r="D136" t="s">
        <v>446</v>
      </c>
      <c r="E136">
        <v>3471397.03</v>
      </c>
      <c r="F136" t="s">
        <v>378</v>
      </c>
      <c r="G136" t="s">
        <v>447</v>
      </c>
      <c r="H136">
        <v>181009160103</v>
      </c>
      <c r="I136" t="str">
        <f>CashIntraTable[Portfolio]&amp;VALUE(CashIntraTable[Cash Date])&amp;CashIntraTable[Detail]</f>
        <v>SCBDVFUND433891.2. Switch-in</v>
      </c>
    </row>
    <row r="137" spans="1:9" x14ac:dyDescent="0.2">
      <c r="A137" t="s">
        <v>463</v>
      </c>
      <c r="B137" t="s">
        <v>23</v>
      </c>
      <c r="C137" s="50">
        <v>43382</v>
      </c>
      <c r="D137" t="s">
        <v>446</v>
      </c>
      <c r="E137">
        <v>-766539.76</v>
      </c>
      <c r="F137" t="s">
        <v>379</v>
      </c>
      <c r="G137" t="s">
        <v>447</v>
      </c>
      <c r="H137">
        <v>181009160103</v>
      </c>
      <c r="I137" t="str">
        <f>CashIntraTable[Portfolio]&amp;VALUE(CashIntraTable[Cash Date])&amp;CashIntraTable[Detail]</f>
        <v>SCBDVFUND433822.1. Redemption</v>
      </c>
    </row>
    <row r="138" spans="1:9" x14ac:dyDescent="0.2">
      <c r="A138" t="s">
        <v>463</v>
      </c>
      <c r="B138" t="s">
        <v>23</v>
      </c>
      <c r="C138" s="50">
        <v>43383</v>
      </c>
      <c r="D138" t="s">
        <v>446</v>
      </c>
      <c r="E138">
        <v>-1095335.3500000001</v>
      </c>
      <c r="F138" t="s">
        <v>379</v>
      </c>
      <c r="G138" t="s">
        <v>447</v>
      </c>
      <c r="H138">
        <v>181009160103</v>
      </c>
      <c r="I138" t="str">
        <f>CashIntraTable[Portfolio]&amp;VALUE(CashIntraTable[Cash Date])&amp;CashIntraTable[Detail]</f>
        <v>SCBDVFUND433832.1. Redemption</v>
      </c>
    </row>
    <row r="139" spans="1:9" x14ac:dyDescent="0.2">
      <c r="A139" t="s">
        <v>463</v>
      </c>
      <c r="B139" t="s">
        <v>23</v>
      </c>
      <c r="C139" s="50">
        <v>43384</v>
      </c>
      <c r="D139" t="s">
        <v>446</v>
      </c>
      <c r="E139">
        <v>-335935.38</v>
      </c>
      <c r="F139" t="s">
        <v>379</v>
      </c>
      <c r="G139" t="s">
        <v>447</v>
      </c>
      <c r="H139">
        <v>181009160103</v>
      </c>
      <c r="I139" t="str">
        <f>CashIntraTable[Portfolio]&amp;VALUE(CashIntraTable[Cash Date])&amp;CashIntraTable[Detail]</f>
        <v>SCBDVFUND433842.1. Redemption</v>
      </c>
    </row>
    <row r="140" spans="1:9" x14ac:dyDescent="0.2">
      <c r="A140" t="s">
        <v>463</v>
      </c>
      <c r="B140" t="s">
        <v>23</v>
      </c>
      <c r="C140" s="50">
        <v>43382</v>
      </c>
      <c r="D140" t="s">
        <v>446</v>
      </c>
      <c r="E140">
        <v>-4437.13</v>
      </c>
      <c r="F140" t="s">
        <v>380</v>
      </c>
      <c r="G140" t="s">
        <v>447</v>
      </c>
      <c r="H140">
        <v>181009160103</v>
      </c>
      <c r="I140" t="str">
        <f>CashIntraTable[Portfolio]&amp;VALUE(CashIntraTable[Cash Date])&amp;CashIntraTable[Detail]</f>
        <v>SCBDVFUND433822.2. Switch-out</v>
      </c>
    </row>
    <row r="141" spans="1:9" x14ac:dyDescent="0.2">
      <c r="A141" t="s">
        <v>463</v>
      </c>
      <c r="B141" t="s">
        <v>23</v>
      </c>
      <c r="C141" s="50">
        <v>43383</v>
      </c>
      <c r="D141" t="s">
        <v>446</v>
      </c>
      <c r="E141">
        <v>-113071.98</v>
      </c>
      <c r="F141" t="s">
        <v>380</v>
      </c>
      <c r="G141" t="s">
        <v>447</v>
      </c>
      <c r="H141">
        <v>181009160103</v>
      </c>
      <c r="I141" t="str">
        <f>CashIntraTable[Portfolio]&amp;VALUE(CashIntraTable[Cash Date])&amp;CashIntraTable[Detail]</f>
        <v>SCBDVFUND433832.2. Switch-out</v>
      </c>
    </row>
    <row r="142" spans="1:9" x14ac:dyDescent="0.2">
      <c r="A142" t="s">
        <v>463</v>
      </c>
      <c r="B142" t="s">
        <v>23</v>
      </c>
      <c r="C142" s="50">
        <v>43384</v>
      </c>
      <c r="D142" t="s">
        <v>446</v>
      </c>
      <c r="E142">
        <v>-32557.51</v>
      </c>
      <c r="F142" t="s">
        <v>380</v>
      </c>
      <c r="G142" t="s">
        <v>447</v>
      </c>
      <c r="H142">
        <v>181009160103</v>
      </c>
      <c r="I142" t="str">
        <f>CashIntraTable[Portfolio]&amp;VALUE(CashIntraTable[Cash Date])&amp;CashIntraTable[Detail]</f>
        <v>SCBDVFUND433842.2. Switch-out</v>
      </c>
    </row>
    <row r="143" spans="1:9" x14ac:dyDescent="0.2">
      <c r="A143" t="s">
        <v>464</v>
      </c>
      <c r="B143" t="s">
        <v>23</v>
      </c>
      <c r="C143" s="50">
        <v>43383</v>
      </c>
      <c r="D143" t="s">
        <v>446</v>
      </c>
      <c r="E143">
        <v>-994.68</v>
      </c>
      <c r="F143" t="s">
        <v>380</v>
      </c>
      <c r="G143" t="s">
        <v>447</v>
      </c>
      <c r="H143">
        <v>181009160103</v>
      </c>
      <c r="I143" t="str">
        <f>CashIntraTable[Portfolio]&amp;VALUE(CashIntraTable[Cash Date])&amp;CashIntraTable[Detail]</f>
        <v>SCBEMBOND433832.2. Switch-out</v>
      </c>
    </row>
    <row r="144" spans="1:9" x14ac:dyDescent="0.2">
      <c r="A144" t="s">
        <v>464</v>
      </c>
      <c r="B144" t="s">
        <v>23</v>
      </c>
      <c r="C144" s="50">
        <v>43384</v>
      </c>
      <c r="D144" t="s">
        <v>446</v>
      </c>
      <c r="E144">
        <v>-1936191.15</v>
      </c>
      <c r="F144" t="s">
        <v>380</v>
      </c>
      <c r="G144" t="s">
        <v>447</v>
      </c>
      <c r="H144">
        <v>181009160103</v>
      </c>
      <c r="I144" t="str">
        <f>CashIntraTable[Portfolio]&amp;VALUE(CashIntraTable[Cash Date])&amp;CashIntraTable[Detail]</f>
        <v>SCBEMBOND433842.2. Switch-out</v>
      </c>
    </row>
    <row r="145" spans="1:9" x14ac:dyDescent="0.2">
      <c r="A145" t="s">
        <v>465</v>
      </c>
      <c r="B145" t="s">
        <v>23</v>
      </c>
      <c r="C145" s="50">
        <v>43383</v>
      </c>
      <c r="D145" t="s">
        <v>446</v>
      </c>
      <c r="E145">
        <v>3000</v>
      </c>
      <c r="F145" t="s">
        <v>377</v>
      </c>
      <c r="G145" t="s">
        <v>447</v>
      </c>
      <c r="H145">
        <v>181009160103</v>
      </c>
      <c r="I145" t="str">
        <f>CashIntraTable[Portfolio]&amp;VALUE(CashIntraTable[Cash Date])&amp;CashIntraTable[Detail]</f>
        <v>SCBEMEQFUND433831.1. Subscription</v>
      </c>
    </row>
    <row r="146" spans="1:9" x14ac:dyDescent="0.2">
      <c r="A146" t="s">
        <v>465</v>
      </c>
      <c r="B146" t="s">
        <v>23</v>
      </c>
      <c r="C146" s="50">
        <v>43383</v>
      </c>
      <c r="D146" t="s">
        <v>446</v>
      </c>
      <c r="E146">
        <v>2000</v>
      </c>
      <c r="F146" t="s">
        <v>378</v>
      </c>
      <c r="G146" t="s">
        <v>447</v>
      </c>
      <c r="H146">
        <v>181009160103</v>
      </c>
      <c r="I146" t="str">
        <f>CashIntraTable[Portfolio]&amp;VALUE(CashIntraTable[Cash Date])&amp;CashIntraTable[Detail]</f>
        <v>SCBEMEQFUND433831.2. Switch-in</v>
      </c>
    </row>
    <row r="147" spans="1:9" x14ac:dyDescent="0.2">
      <c r="A147" t="s">
        <v>465</v>
      </c>
      <c r="B147" t="s">
        <v>23</v>
      </c>
      <c r="C147" s="50">
        <v>43384</v>
      </c>
      <c r="D147" t="s">
        <v>446</v>
      </c>
      <c r="E147">
        <v>994.68</v>
      </c>
      <c r="F147" t="s">
        <v>378</v>
      </c>
      <c r="G147" t="s">
        <v>447</v>
      </c>
      <c r="H147">
        <v>181009160103</v>
      </c>
      <c r="I147" t="str">
        <f>CashIntraTable[Portfolio]&amp;VALUE(CashIntraTable[Cash Date])&amp;CashIntraTable[Detail]</f>
        <v>SCBEMEQFUND433841.2. Switch-in</v>
      </c>
    </row>
    <row r="148" spans="1:9" x14ac:dyDescent="0.2">
      <c r="A148" t="s">
        <v>465</v>
      </c>
      <c r="B148" t="s">
        <v>23</v>
      </c>
      <c r="C148" s="50">
        <v>43382</v>
      </c>
      <c r="D148" t="s">
        <v>446</v>
      </c>
      <c r="E148">
        <v>-25000</v>
      </c>
      <c r="F148" t="s">
        <v>379</v>
      </c>
      <c r="G148" t="s">
        <v>447</v>
      </c>
      <c r="H148">
        <v>181009160103</v>
      </c>
      <c r="I148" t="str">
        <f>CashIntraTable[Portfolio]&amp;VALUE(CashIntraTable[Cash Date])&amp;CashIntraTable[Detail]</f>
        <v>SCBEMEQFUND433822.1. Redemption</v>
      </c>
    </row>
    <row r="149" spans="1:9" x14ac:dyDescent="0.2">
      <c r="A149" t="s">
        <v>465</v>
      </c>
      <c r="B149" t="s">
        <v>23</v>
      </c>
      <c r="C149" s="50">
        <v>43383</v>
      </c>
      <c r="D149" t="s">
        <v>446</v>
      </c>
      <c r="E149">
        <v>-22041.62</v>
      </c>
      <c r="F149" t="s">
        <v>379</v>
      </c>
      <c r="G149" t="s">
        <v>447</v>
      </c>
      <c r="H149">
        <v>181009160103</v>
      </c>
      <c r="I149" t="str">
        <f>CashIntraTable[Portfolio]&amp;VALUE(CashIntraTable[Cash Date])&amp;CashIntraTable[Detail]</f>
        <v>SCBEMEQFUND433832.1. Redemption</v>
      </c>
    </row>
    <row r="150" spans="1:9" x14ac:dyDescent="0.2">
      <c r="A150" t="s">
        <v>465</v>
      </c>
      <c r="B150" t="s">
        <v>23</v>
      </c>
      <c r="C150" s="50">
        <v>43384</v>
      </c>
      <c r="D150" t="s">
        <v>446</v>
      </c>
      <c r="E150">
        <v>-714413.21</v>
      </c>
      <c r="F150" t="s">
        <v>379</v>
      </c>
      <c r="G150" t="s">
        <v>447</v>
      </c>
      <c r="H150">
        <v>181009160103</v>
      </c>
      <c r="I150" t="str">
        <f>CashIntraTable[Portfolio]&amp;VALUE(CashIntraTable[Cash Date])&amp;CashIntraTable[Detail]</f>
        <v>SCBEMEQFUND433842.1. Redemption</v>
      </c>
    </row>
    <row r="151" spans="1:9" x14ac:dyDescent="0.2">
      <c r="A151" t="s">
        <v>465</v>
      </c>
      <c r="B151" t="s">
        <v>23</v>
      </c>
      <c r="C151" s="50">
        <v>43389</v>
      </c>
      <c r="D151" t="s">
        <v>446</v>
      </c>
      <c r="E151">
        <v>-74481.490000000005</v>
      </c>
      <c r="F151" t="s">
        <v>379</v>
      </c>
      <c r="G151" t="s">
        <v>447</v>
      </c>
      <c r="H151">
        <v>181009160103</v>
      </c>
      <c r="I151" t="str">
        <f>CashIntraTable[Portfolio]&amp;VALUE(CashIntraTable[Cash Date])&amp;CashIntraTable[Detail]</f>
        <v>SCBEMEQFUND433892.1. Redemption</v>
      </c>
    </row>
    <row r="152" spans="1:9" x14ac:dyDescent="0.2">
      <c r="A152" t="s">
        <v>465</v>
      </c>
      <c r="B152" t="s">
        <v>23</v>
      </c>
      <c r="C152" s="50">
        <v>43385</v>
      </c>
      <c r="D152" t="s">
        <v>446</v>
      </c>
      <c r="E152">
        <v>-19377.95</v>
      </c>
      <c r="F152" t="s">
        <v>380</v>
      </c>
      <c r="G152" t="s">
        <v>447</v>
      </c>
      <c r="H152">
        <v>181009160103</v>
      </c>
      <c r="I152" t="str">
        <f>CashIntraTable[Portfolio]&amp;VALUE(CashIntraTable[Cash Date])&amp;CashIntraTable[Detail]</f>
        <v>SCBEMEQFUND433852.2. Switch-out</v>
      </c>
    </row>
    <row r="153" spans="1:9" x14ac:dyDescent="0.2">
      <c r="A153" t="s">
        <v>465</v>
      </c>
      <c r="B153" t="s">
        <v>23</v>
      </c>
      <c r="C153" s="50">
        <v>43389</v>
      </c>
      <c r="D153" t="s">
        <v>446</v>
      </c>
      <c r="E153">
        <v>-7487083.6200000001</v>
      </c>
      <c r="F153" t="s">
        <v>380</v>
      </c>
      <c r="G153" t="s">
        <v>447</v>
      </c>
      <c r="H153">
        <v>181009160103</v>
      </c>
      <c r="I153" t="str">
        <f>CashIntraTable[Portfolio]&amp;VALUE(CashIntraTable[Cash Date])&amp;CashIntraTable[Detail]</f>
        <v>SCBEMEQFUND433892.2. Switch-out</v>
      </c>
    </row>
    <row r="154" spans="1:9" x14ac:dyDescent="0.2">
      <c r="A154" t="s">
        <v>466</v>
      </c>
      <c r="B154" t="s">
        <v>23</v>
      </c>
      <c r="C154" s="50">
        <v>43382</v>
      </c>
      <c r="D154" t="s">
        <v>446</v>
      </c>
      <c r="E154">
        <v>1980266.2</v>
      </c>
      <c r="F154" t="s">
        <v>377</v>
      </c>
      <c r="G154" t="s">
        <v>447</v>
      </c>
      <c r="H154">
        <v>181009160103</v>
      </c>
      <c r="I154" t="str">
        <f>CashIntraTable[Portfolio]&amp;VALUE(CashIntraTable[Cash Date])&amp;CashIntraTable[Detail]</f>
        <v>SCBENERGYFUND433821.1. Subscription</v>
      </c>
    </row>
    <row r="155" spans="1:9" x14ac:dyDescent="0.2">
      <c r="A155" t="s">
        <v>466</v>
      </c>
      <c r="B155" t="s">
        <v>23</v>
      </c>
      <c r="C155" s="50">
        <v>43383</v>
      </c>
      <c r="D155" t="s">
        <v>446</v>
      </c>
      <c r="E155">
        <v>3784600</v>
      </c>
      <c r="F155" t="s">
        <v>377</v>
      </c>
      <c r="G155" t="s">
        <v>447</v>
      </c>
      <c r="H155">
        <v>181009160103</v>
      </c>
      <c r="I155" t="str">
        <f>CashIntraTable[Portfolio]&amp;VALUE(CashIntraTable[Cash Date])&amp;CashIntraTable[Detail]</f>
        <v>SCBENERGYFUND433831.1. Subscription</v>
      </c>
    </row>
    <row r="156" spans="1:9" x14ac:dyDescent="0.2">
      <c r="A156" t="s">
        <v>466</v>
      </c>
      <c r="B156" t="s">
        <v>23</v>
      </c>
      <c r="C156" s="50">
        <v>43382</v>
      </c>
      <c r="D156" t="s">
        <v>446</v>
      </c>
      <c r="E156">
        <v>1712093.71</v>
      </c>
      <c r="F156" t="s">
        <v>378</v>
      </c>
      <c r="G156" t="s">
        <v>447</v>
      </c>
      <c r="H156">
        <v>181009160103</v>
      </c>
      <c r="I156" t="str">
        <f>CashIntraTable[Portfolio]&amp;VALUE(CashIntraTable[Cash Date])&amp;CashIntraTable[Detail]</f>
        <v>SCBENERGYFUND433821.2. Switch-in</v>
      </c>
    </row>
    <row r="157" spans="1:9" x14ac:dyDescent="0.2">
      <c r="A157" t="s">
        <v>466</v>
      </c>
      <c r="B157" t="s">
        <v>23</v>
      </c>
      <c r="C157" s="50">
        <v>43383</v>
      </c>
      <c r="D157" t="s">
        <v>446</v>
      </c>
      <c r="E157">
        <v>5188206.7699999996</v>
      </c>
      <c r="F157" t="s">
        <v>378</v>
      </c>
      <c r="G157" t="s">
        <v>447</v>
      </c>
      <c r="H157">
        <v>181009160103</v>
      </c>
      <c r="I157" t="str">
        <f>CashIntraTable[Portfolio]&amp;VALUE(CashIntraTable[Cash Date])&amp;CashIntraTable[Detail]</f>
        <v>SCBENERGYFUND433831.2. Switch-in</v>
      </c>
    </row>
    <row r="158" spans="1:9" x14ac:dyDescent="0.2">
      <c r="A158" t="s">
        <v>466</v>
      </c>
      <c r="B158" t="s">
        <v>23</v>
      </c>
      <c r="C158" s="50">
        <v>43384</v>
      </c>
      <c r="D158" t="s">
        <v>446</v>
      </c>
      <c r="E158">
        <v>9904.8700000000008</v>
      </c>
      <c r="F158" t="s">
        <v>378</v>
      </c>
      <c r="G158" t="s">
        <v>447</v>
      </c>
      <c r="H158">
        <v>181009160103</v>
      </c>
      <c r="I158" t="str">
        <f>CashIntraTable[Portfolio]&amp;VALUE(CashIntraTable[Cash Date])&amp;CashIntraTable[Detail]</f>
        <v>SCBENERGYFUND433841.2. Switch-in</v>
      </c>
    </row>
    <row r="159" spans="1:9" x14ac:dyDescent="0.2">
      <c r="A159" t="s">
        <v>466</v>
      </c>
      <c r="B159" t="s">
        <v>23</v>
      </c>
      <c r="C159" s="50">
        <v>43385</v>
      </c>
      <c r="D159" t="s">
        <v>446</v>
      </c>
      <c r="E159">
        <v>222622.86</v>
      </c>
      <c r="F159" t="s">
        <v>378</v>
      </c>
      <c r="G159" t="s">
        <v>447</v>
      </c>
      <c r="H159">
        <v>181009160103</v>
      </c>
      <c r="I159" t="str">
        <f>CashIntraTable[Portfolio]&amp;VALUE(CashIntraTable[Cash Date])&amp;CashIntraTable[Detail]</f>
        <v>SCBENERGYFUND433851.2. Switch-in</v>
      </c>
    </row>
    <row r="160" spans="1:9" x14ac:dyDescent="0.2">
      <c r="A160" t="s">
        <v>466</v>
      </c>
      <c r="B160" t="s">
        <v>23</v>
      </c>
      <c r="C160" s="50">
        <v>43389</v>
      </c>
      <c r="D160" t="s">
        <v>446</v>
      </c>
      <c r="E160">
        <v>2000000</v>
      </c>
      <c r="F160" t="s">
        <v>378</v>
      </c>
      <c r="G160" t="s">
        <v>447</v>
      </c>
      <c r="H160">
        <v>181009160103</v>
      </c>
      <c r="I160" t="str">
        <f>CashIntraTable[Portfolio]&amp;VALUE(CashIntraTable[Cash Date])&amp;CashIntraTable[Detail]</f>
        <v>SCBENERGYFUND433891.2. Switch-in</v>
      </c>
    </row>
    <row r="161" spans="1:9" x14ac:dyDescent="0.2">
      <c r="A161" t="s">
        <v>466</v>
      </c>
      <c r="B161" t="s">
        <v>23</v>
      </c>
      <c r="C161" s="50">
        <v>43382</v>
      </c>
      <c r="D161" t="s">
        <v>446</v>
      </c>
      <c r="E161">
        <v>-2787093.26</v>
      </c>
      <c r="F161" t="s">
        <v>379</v>
      </c>
      <c r="G161" t="s">
        <v>447</v>
      </c>
      <c r="H161">
        <v>181009160103</v>
      </c>
      <c r="I161" t="str">
        <f>CashIntraTable[Portfolio]&amp;VALUE(CashIntraTable[Cash Date])&amp;CashIntraTable[Detail]</f>
        <v>SCBENERGYFUND433822.1. Redemption</v>
      </c>
    </row>
    <row r="162" spans="1:9" x14ac:dyDescent="0.2">
      <c r="A162" t="s">
        <v>466</v>
      </c>
      <c r="B162" t="s">
        <v>23</v>
      </c>
      <c r="C162" s="50">
        <v>43383</v>
      </c>
      <c r="D162" t="s">
        <v>446</v>
      </c>
      <c r="E162">
        <v>-343491.45</v>
      </c>
      <c r="F162" t="s">
        <v>379</v>
      </c>
      <c r="G162" t="s">
        <v>447</v>
      </c>
      <c r="H162">
        <v>181009160103</v>
      </c>
      <c r="I162" t="str">
        <f>CashIntraTable[Portfolio]&amp;VALUE(CashIntraTable[Cash Date])&amp;CashIntraTable[Detail]</f>
        <v>SCBENERGYFUND433832.1. Redemption</v>
      </c>
    </row>
    <row r="163" spans="1:9" x14ac:dyDescent="0.2">
      <c r="A163" t="s">
        <v>466</v>
      </c>
      <c r="B163" t="s">
        <v>23</v>
      </c>
      <c r="C163" s="50">
        <v>43384</v>
      </c>
      <c r="D163" t="s">
        <v>446</v>
      </c>
      <c r="E163">
        <v>-73641.490000000005</v>
      </c>
      <c r="F163" t="s">
        <v>379</v>
      </c>
      <c r="G163" t="s">
        <v>447</v>
      </c>
      <c r="H163">
        <v>181009160103</v>
      </c>
      <c r="I163" t="str">
        <f>CashIntraTable[Portfolio]&amp;VALUE(CashIntraTable[Cash Date])&amp;CashIntraTable[Detail]</f>
        <v>SCBENERGYFUND433842.1. Redemption</v>
      </c>
    </row>
    <row r="164" spans="1:9" x14ac:dyDescent="0.2">
      <c r="A164" t="s">
        <v>466</v>
      </c>
      <c r="B164" t="s">
        <v>23</v>
      </c>
      <c r="C164" s="50">
        <v>43382</v>
      </c>
      <c r="D164" t="s">
        <v>446</v>
      </c>
      <c r="E164">
        <v>-530139.43999999994</v>
      </c>
      <c r="F164" t="s">
        <v>380</v>
      </c>
      <c r="G164" t="s">
        <v>447</v>
      </c>
      <c r="H164">
        <v>181009160103</v>
      </c>
      <c r="I164" t="str">
        <f>CashIntraTable[Portfolio]&amp;VALUE(CashIntraTable[Cash Date])&amp;CashIntraTable[Detail]</f>
        <v>SCBENERGYFUND433822.2. Switch-out</v>
      </c>
    </row>
    <row r="165" spans="1:9" x14ac:dyDescent="0.2">
      <c r="A165" t="s">
        <v>466</v>
      </c>
      <c r="B165" t="s">
        <v>23</v>
      </c>
      <c r="C165" s="50">
        <v>43383</v>
      </c>
      <c r="D165" t="s">
        <v>446</v>
      </c>
      <c r="E165">
        <v>-1180978.22</v>
      </c>
      <c r="F165" t="s">
        <v>380</v>
      </c>
      <c r="G165" t="s">
        <v>447</v>
      </c>
      <c r="H165">
        <v>181009160103</v>
      </c>
      <c r="I165" t="str">
        <f>CashIntraTable[Portfolio]&amp;VALUE(CashIntraTable[Cash Date])&amp;CashIntraTable[Detail]</f>
        <v>SCBENERGYFUND433832.2. Switch-out</v>
      </c>
    </row>
    <row r="166" spans="1:9" x14ac:dyDescent="0.2">
      <c r="A166" t="s">
        <v>466</v>
      </c>
      <c r="B166" t="s">
        <v>23</v>
      </c>
      <c r="C166" s="50">
        <v>43384</v>
      </c>
      <c r="D166" t="s">
        <v>446</v>
      </c>
      <c r="E166">
        <v>-143895.70000000001</v>
      </c>
      <c r="F166" t="s">
        <v>380</v>
      </c>
      <c r="G166" t="s">
        <v>447</v>
      </c>
      <c r="H166">
        <v>181009160103</v>
      </c>
      <c r="I166" t="str">
        <f>CashIntraTable[Portfolio]&amp;VALUE(CashIntraTable[Cash Date])&amp;CashIntraTable[Detail]</f>
        <v>SCBENERGYFUND433842.2. Switch-out</v>
      </c>
    </row>
    <row r="167" spans="1:9" x14ac:dyDescent="0.2">
      <c r="A167" t="s">
        <v>467</v>
      </c>
      <c r="B167" t="s">
        <v>23</v>
      </c>
      <c r="C167" s="50">
        <v>43382</v>
      </c>
      <c r="D167" t="s">
        <v>446</v>
      </c>
      <c r="E167">
        <v>184625</v>
      </c>
      <c r="F167" t="s">
        <v>377</v>
      </c>
      <c r="G167" t="s">
        <v>447</v>
      </c>
      <c r="H167">
        <v>181009160103</v>
      </c>
      <c r="I167" t="str">
        <f>CashIntraTable[Portfolio]&amp;VALUE(CashIntraTable[Cash Date])&amp;CashIntraTable[Detail]</f>
        <v>SCBEUEQ433821.1. Subscription</v>
      </c>
    </row>
    <row r="168" spans="1:9" x14ac:dyDescent="0.2">
      <c r="A168" t="s">
        <v>467</v>
      </c>
      <c r="B168" t="s">
        <v>23</v>
      </c>
      <c r="C168" s="50">
        <v>43383</v>
      </c>
      <c r="D168" t="s">
        <v>446</v>
      </c>
      <c r="E168">
        <v>420400</v>
      </c>
      <c r="F168" t="s">
        <v>377</v>
      </c>
      <c r="G168" t="s">
        <v>447</v>
      </c>
      <c r="H168">
        <v>181009160103</v>
      </c>
      <c r="I168" t="str">
        <f>CashIntraTable[Portfolio]&amp;VALUE(CashIntraTable[Cash Date])&amp;CashIntraTable[Detail]</f>
        <v>SCBEUEQ433831.1. Subscription</v>
      </c>
    </row>
    <row r="169" spans="1:9" x14ac:dyDescent="0.2">
      <c r="A169" t="s">
        <v>467</v>
      </c>
      <c r="B169" t="s">
        <v>23</v>
      </c>
      <c r="C169" s="50">
        <v>43382</v>
      </c>
      <c r="D169" t="s">
        <v>446</v>
      </c>
      <c r="E169">
        <v>100000</v>
      </c>
      <c r="F169" t="s">
        <v>378</v>
      </c>
      <c r="G169" t="s">
        <v>447</v>
      </c>
      <c r="H169">
        <v>181009160103</v>
      </c>
      <c r="I169" t="str">
        <f>CashIntraTable[Portfolio]&amp;VALUE(CashIntraTable[Cash Date])&amp;CashIntraTable[Detail]</f>
        <v>SCBEUEQ433821.2. Switch-in</v>
      </c>
    </row>
    <row r="170" spans="1:9" x14ac:dyDescent="0.2">
      <c r="A170" t="s">
        <v>467</v>
      </c>
      <c r="B170" t="s">
        <v>23</v>
      </c>
      <c r="C170" s="50">
        <v>43383</v>
      </c>
      <c r="D170" t="s">
        <v>446</v>
      </c>
      <c r="E170">
        <v>105045.79</v>
      </c>
      <c r="F170" t="s">
        <v>378</v>
      </c>
      <c r="G170" t="s">
        <v>447</v>
      </c>
      <c r="H170">
        <v>181009160103</v>
      </c>
      <c r="I170" t="str">
        <f>CashIntraTable[Portfolio]&amp;VALUE(CashIntraTable[Cash Date])&amp;CashIntraTable[Detail]</f>
        <v>SCBEUEQ433831.2. Switch-in</v>
      </c>
    </row>
    <row r="171" spans="1:9" x14ac:dyDescent="0.2">
      <c r="A171" t="s">
        <v>467</v>
      </c>
      <c r="B171" t="s">
        <v>23</v>
      </c>
      <c r="C171" s="50">
        <v>43383</v>
      </c>
      <c r="D171" t="s">
        <v>446</v>
      </c>
      <c r="E171">
        <v>-3400</v>
      </c>
      <c r="F171" t="s">
        <v>379</v>
      </c>
      <c r="G171" t="s">
        <v>447</v>
      </c>
      <c r="H171">
        <v>181009160103</v>
      </c>
      <c r="I171" t="str">
        <f>CashIntraTable[Portfolio]&amp;VALUE(CashIntraTable[Cash Date])&amp;CashIntraTable[Detail]</f>
        <v>SCBEUEQ433832.1. Redemption</v>
      </c>
    </row>
    <row r="172" spans="1:9" x14ac:dyDescent="0.2">
      <c r="A172" t="s">
        <v>467</v>
      </c>
      <c r="B172" t="s">
        <v>23</v>
      </c>
      <c r="C172" s="50">
        <v>43382</v>
      </c>
      <c r="D172" t="s">
        <v>446</v>
      </c>
      <c r="E172">
        <v>-159744.57</v>
      </c>
      <c r="F172" t="s">
        <v>380</v>
      </c>
      <c r="G172" t="s">
        <v>447</v>
      </c>
      <c r="H172">
        <v>181009160103</v>
      </c>
      <c r="I172" t="str">
        <f>CashIntraTable[Portfolio]&amp;VALUE(CashIntraTable[Cash Date])&amp;CashIntraTable[Detail]</f>
        <v>SCBEUEQ433822.2. Switch-out</v>
      </c>
    </row>
    <row r="173" spans="1:9" x14ac:dyDescent="0.2">
      <c r="A173" t="s">
        <v>467</v>
      </c>
      <c r="B173" t="s">
        <v>23</v>
      </c>
      <c r="C173" s="50">
        <v>43383</v>
      </c>
      <c r="D173" t="s">
        <v>446</v>
      </c>
      <c r="E173">
        <v>-81749</v>
      </c>
      <c r="F173" t="s">
        <v>380</v>
      </c>
      <c r="G173" t="s">
        <v>447</v>
      </c>
      <c r="H173">
        <v>181009160103</v>
      </c>
      <c r="I173" t="str">
        <f>CashIntraTable[Portfolio]&amp;VALUE(CashIntraTable[Cash Date])&amp;CashIntraTable[Detail]</f>
        <v>SCBEUEQ433832.2. Switch-out</v>
      </c>
    </row>
    <row r="174" spans="1:9" x14ac:dyDescent="0.2">
      <c r="A174" t="s">
        <v>467</v>
      </c>
      <c r="B174" t="s">
        <v>23</v>
      </c>
      <c r="C174" s="50">
        <v>43384</v>
      </c>
      <c r="D174" t="s">
        <v>446</v>
      </c>
      <c r="E174">
        <v>-237404.38</v>
      </c>
      <c r="F174" t="s">
        <v>380</v>
      </c>
      <c r="G174" t="s">
        <v>447</v>
      </c>
      <c r="H174">
        <v>181009160103</v>
      </c>
      <c r="I174" t="str">
        <f>CashIntraTable[Portfolio]&amp;VALUE(CashIntraTable[Cash Date])&amp;CashIntraTable[Detail]</f>
        <v>SCBEUEQ433842.2. Switch-out</v>
      </c>
    </row>
    <row r="175" spans="1:9" x14ac:dyDescent="0.2">
      <c r="A175" t="s">
        <v>468</v>
      </c>
      <c r="B175" t="s">
        <v>23</v>
      </c>
      <c r="C175" s="50">
        <v>43382</v>
      </c>
      <c r="D175" t="s">
        <v>446</v>
      </c>
      <c r="E175">
        <v>2288593.38</v>
      </c>
      <c r="F175" t="s">
        <v>377</v>
      </c>
      <c r="G175" t="s">
        <v>447</v>
      </c>
      <c r="H175">
        <v>181009160103</v>
      </c>
      <c r="I175" t="str">
        <f>CashIntraTable[Portfolio]&amp;VALUE(CashIntraTable[Cash Date])&amp;CashIntraTable[Detail]</f>
        <v>SCBEUSM433821.1. Subscription</v>
      </c>
    </row>
    <row r="176" spans="1:9" x14ac:dyDescent="0.2">
      <c r="A176" t="s">
        <v>468</v>
      </c>
      <c r="B176" t="s">
        <v>23</v>
      </c>
      <c r="C176" s="50">
        <v>43383</v>
      </c>
      <c r="D176" t="s">
        <v>446</v>
      </c>
      <c r="E176">
        <v>293500</v>
      </c>
      <c r="F176" t="s">
        <v>377</v>
      </c>
      <c r="G176" t="s">
        <v>447</v>
      </c>
      <c r="H176">
        <v>181009160103</v>
      </c>
      <c r="I176" t="str">
        <f>CashIntraTable[Portfolio]&amp;VALUE(CashIntraTable[Cash Date])&amp;CashIntraTable[Detail]</f>
        <v>SCBEUSM433831.1. Subscription</v>
      </c>
    </row>
    <row r="177" spans="1:9" x14ac:dyDescent="0.2">
      <c r="A177" t="s">
        <v>468</v>
      </c>
      <c r="B177" t="s">
        <v>23</v>
      </c>
      <c r="C177" s="50">
        <v>43383</v>
      </c>
      <c r="D177" t="s">
        <v>446</v>
      </c>
      <c r="E177">
        <v>425850</v>
      </c>
      <c r="F177" t="s">
        <v>378</v>
      </c>
      <c r="G177" t="s">
        <v>447</v>
      </c>
      <c r="H177">
        <v>181009160103</v>
      </c>
      <c r="I177" t="str">
        <f>CashIntraTable[Portfolio]&amp;VALUE(CashIntraTable[Cash Date])&amp;CashIntraTable[Detail]</f>
        <v>SCBEUSM433831.2. Switch-in</v>
      </c>
    </row>
    <row r="178" spans="1:9" x14ac:dyDescent="0.2">
      <c r="A178" t="s">
        <v>468</v>
      </c>
      <c r="B178" t="s">
        <v>23</v>
      </c>
      <c r="C178" s="50">
        <v>43385</v>
      </c>
      <c r="D178" t="s">
        <v>446</v>
      </c>
      <c r="E178">
        <v>950.83</v>
      </c>
      <c r="F178" t="s">
        <v>378</v>
      </c>
      <c r="G178" t="s">
        <v>447</v>
      </c>
      <c r="H178">
        <v>181009160103</v>
      </c>
      <c r="I178" t="str">
        <f>CashIntraTable[Portfolio]&amp;VALUE(CashIntraTable[Cash Date])&amp;CashIntraTable[Detail]</f>
        <v>SCBEUSM433851.2. Switch-in</v>
      </c>
    </row>
    <row r="179" spans="1:9" x14ac:dyDescent="0.2">
      <c r="A179" t="s">
        <v>468</v>
      </c>
      <c r="B179" t="s">
        <v>23</v>
      </c>
      <c r="C179" s="50">
        <v>43382</v>
      </c>
      <c r="D179" t="s">
        <v>446</v>
      </c>
      <c r="E179">
        <v>-47846.879999999997</v>
      </c>
      <c r="F179" t="s">
        <v>379</v>
      </c>
      <c r="G179" t="s">
        <v>447</v>
      </c>
      <c r="H179">
        <v>181009160103</v>
      </c>
      <c r="I179" t="str">
        <f>CashIntraTable[Portfolio]&amp;VALUE(CashIntraTable[Cash Date])&amp;CashIntraTable[Detail]</f>
        <v>SCBEUSM433822.1. Redemption</v>
      </c>
    </row>
    <row r="180" spans="1:9" x14ac:dyDescent="0.2">
      <c r="A180" t="s">
        <v>468</v>
      </c>
      <c r="B180" t="s">
        <v>23</v>
      </c>
      <c r="C180" s="50">
        <v>43384</v>
      </c>
      <c r="D180" t="s">
        <v>446</v>
      </c>
      <c r="E180">
        <v>-1803.93</v>
      </c>
      <c r="F180" t="s">
        <v>379</v>
      </c>
      <c r="G180" t="s">
        <v>447</v>
      </c>
      <c r="H180">
        <v>181009160103</v>
      </c>
      <c r="I180" t="str">
        <f>CashIntraTable[Portfolio]&amp;VALUE(CashIntraTable[Cash Date])&amp;CashIntraTable[Detail]</f>
        <v>SCBEUSM433842.1. Redemption</v>
      </c>
    </row>
    <row r="181" spans="1:9" x14ac:dyDescent="0.2">
      <c r="A181" t="s">
        <v>468</v>
      </c>
      <c r="B181" t="s">
        <v>23</v>
      </c>
      <c r="C181" s="50">
        <v>43385</v>
      </c>
      <c r="D181" t="s">
        <v>446</v>
      </c>
      <c r="E181">
        <v>-2306.98</v>
      </c>
      <c r="F181" t="s">
        <v>379</v>
      </c>
      <c r="G181" t="s">
        <v>447</v>
      </c>
      <c r="H181">
        <v>181009160103</v>
      </c>
      <c r="I181" t="str">
        <f>CashIntraTable[Portfolio]&amp;VALUE(CashIntraTable[Cash Date])&amp;CashIntraTable[Detail]</f>
        <v>SCBEUSM433852.1. Redemption</v>
      </c>
    </row>
    <row r="182" spans="1:9" x14ac:dyDescent="0.2">
      <c r="A182" t="s">
        <v>468</v>
      </c>
      <c r="B182" t="s">
        <v>23</v>
      </c>
      <c r="C182" s="50">
        <v>43382</v>
      </c>
      <c r="D182" t="s">
        <v>446</v>
      </c>
      <c r="E182">
        <v>-1050871.4099999999</v>
      </c>
      <c r="F182" t="s">
        <v>380</v>
      </c>
      <c r="G182" t="s">
        <v>447</v>
      </c>
      <c r="H182">
        <v>181009160103</v>
      </c>
      <c r="I182" t="str">
        <f>CashIntraTable[Portfolio]&amp;VALUE(CashIntraTable[Cash Date])&amp;CashIntraTable[Detail]</f>
        <v>SCBEUSM433822.2. Switch-out</v>
      </c>
    </row>
    <row r="183" spans="1:9" x14ac:dyDescent="0.2">
      <c r="A183" t="s">
        <v>468</v>
      </c>
      <c r="B183" t="s">
        <v>23</v>
      </c>
      <c r="C183" s="50">
        <v>43383</v>
      </c>
      <c r="D183" t="s">
        <v>446</v>
      </c>
      <c r="E183">
        <v>-19187.12</v>
      </c>
      <c r="F183" t="s">
        <v>380</v>
      </c>
      <c r="G183" t="s">
        <v>447</v>
      </c>
      <c r="H183">
        <v>181009160103</v>
      </c>
      <c r="I183" t="str">
        <f>CashIntraTable[Portfolio]&amp;VALUE(CashIntraTable[Cash Date])&amp;CashIntraTable[Detail]</f>
        <v>SCBEUSM433832.2. Switch-out</v>
      </c>
    </row>
    <row r="184" spans="1:9" x14ac:dyDescent="0.2">
      <c r="A184" t="s">
        <v>468</v>
      </c>
      <c r="B184" t="s">
        <v>23</v>
      </c>
      <c r="C184" s="50">
        <v>43385</v>
      </c>
      <c r="D184" t="s">
        <v>446</v>
      </c>
      <c r="E184">
        <v>-250000</v>
      </c>
      <c r="F184" t="s">
        <v>380</v>
      </c>
      <c r="G184" t="s">
        <v>447</v>
      </c>
      <c r="H184">
        <v>181009160103</v>
      </c>
      <c r="I184" t="str">
        <f>CashIntraTable[Portfolio]&amp;VALUE(CashIntraTable[Cash Date])&amp;CashIntraTable[Detail]</f>
        <v>SCBEUSM433852.2. Switch-out</v>
      </c>
    </row>
    <row r="185" spans="1:9" x14ac:dyDescent="0.2">
      <c r="A185" t="s">
        <v>469</v>
      </c>
      <c r="B185" t="s">
        <v>23</v>
      </c>
      <c r="C185" s="50">
        <v>43382</v>
      </c>
      <c r="D185" t="s">
        <v>446</v>
      </c>
      <c r="E185">
        <v>1301080929.3499999</v>
      </c>
      <c r="F185" t="s">
        <v>377</v>
      </c>
      <c r="G185" t="s">
        <v>447</v>
      </c>
      <c r="H185">
        <v>181009160103</v>
      </c>
      <c r="I185" t="str">
        <f>CashIntraTable[Portfolio]&amp;VALUE(CashIntraTable[Cash Date])&amp;CashIntraTable[Detail]</f>
        <v>SCBFF1YK1433821.1. Subscription</v>
      </c>
    </row>
    <row r="186" spans="1:9" x14ac:dyDescent="0.2">
      <c r="A186" t="s">
        <v>469</v>
      </c>
      <c r="B186" t="s">
        <v>23</v>
      </c>
      <c r="C186" s="50">
        <v>43382</v>
      </c>
      <c r="D186" t="s">
        <v>446</v>
      </c>
      <c r="E186">
        <v>54040069.049999997</v>
      </c>
      <c r="F186" t="s">
        <v>381</v>
      </c>
      <c r="G186" t="s">
        <v>447</v>
      </c>
      <c r="H186">
        <v>181009160103</v>
      </c>
      <c r="I186" t="str">
        <f>CashIntraTable[Portfolio]&amp;VALUE(CashIntraTable[Cash Date])&amp;CashIntraTable[Detail]</f>
        <v>SCBFF1YK1433821.1. Subscription (Chq)</v>
      </c>
    </row>
    <row r="187" spans="1:9" x14ac:dyDescent="0.2">
      <c r="A187" t="s">
        <v>469</v>
      </c>
      <c r="B187" t="s">
        <v>23</v>
      </c>
      <c r="C187" s="50">
        <v>43382</v>
      </c>
      <c r="D187" t="s">
        <v>446</v>
      </c>
      <c r="E187">
        <v>1849003797.6900001</v>
      </c>
      <c r="F187" t="s">
        <v>378</v>
      </c>
      <c r="G187" t="s">
        <v>447</v>
      </c>
      <c r="H187">
        <v>181009160103</v>
      </c>
      <c r="I187" t="str">
        <f>CashIntraTable[Portfolio]&amp;VALUE(CashIntraTable[Cash Date])&amp;CashIntraTable[Detail]</f>
        <v>SCBFF1YK1433821.2. Switch-in</v>
      </c>
    </row>
    <row r="188" spans="1:9" x14ac:dyDescent="0.2">
      <c r="A188" t="s">
        <v>470</v>
      </c>
      <c r="B188" t="s">
        <v>23</v>
      </c>
      <c r="C188" s="50">
        <v>43390</v>
      </c>
      <c r="D188" t="s">
        <v>446</v>
      </c>
      <c r="E188">
        <v>13649949.619999999</v>
      </c>
      <c r="F188" t="s">
        <v>377</v>
      </c>
      <c r="G188" t="s">
        <v>447</v>
      </c>
      <c r="H188">
        <v>181009160103</v>
      </c>
      <c r="I188" t="str">
        <f>CashIntraTable[Portfolio]&amp;VALUE(CashIntraTable[Cash Date])&amp;CashIntraTable[Detail]</f>
        <v>SCBFF1YK2433901.1. Subscription</v>
      </c>
    </row>
    <row r="189" spans="1:9" x14ac:dyDescent="0.2">
      <c r="A189" t="s">
        <v>470</v>
      </c>
      <c r="B189" t="s">
        <v>23</v>
      </c>
      <c r="C189" s="50">
        <v>43383</v>
      </c>
      <c r="D189" t="s">
        <v>446</v>
      </c>
      <c r="E189">
        <v>21480108.09</v>
      </c>
      <c r="F189" t="s">
        <v>378</v>
      </c>
      <c r="G189" t="s">
        <v>447</v>
      </c>
      <c r="H189">
        <v>181009160103</v>
      </c>
      <c r="I189" t="str">
        <f>CashIntraTable[Portfolio]&amp;VALUE(CashIntraTable[Cash Date])&amp;CashIntraTable[Detail]</f>
        <v>SCBFF1YK2433831.2. Switch-in</v>
      </c>
    </row>
    <row r="190" spans="1:9" x14ac:dyDescent="0.2">
      <c r="A190" t="s">
        <v>471</v>
      </c>
      <c r="B190" t="s">
        <v>23</v>
      </c>
      <c r="C190" s="50">
        <v>43390</v>
      </c>
      <c r="D190" t="s">
        <v>446</v>
      </c>
      <c r="E190">
        <v>64731469.460000001</v>
      </c>
      <c r="F190" t="s">
        <v>377</v>
      </c>
      <c r="G190" t="s">
        <v>447</v>
      </c>
      <c r="H190">
        <v>181009160103</v>
      </c>
      <c r="I190" t="str">
        <f>CashIntraTable[Portfolio]&amp;VALUE(CashIntraTable[Cash Date])&amp;CashIntraTable[Detail]</f>
        <v>SCBFF3MC6433901.1. Subscription</v>
      </c>
    </row>
    <row r="191" spans="1:9" x14ac:dyDescent="0.2">
      <c r="A191" t="s">
        <v>471</v>
      </c>
      <c r="B191" t="s">
        <v>23</v>
      </c>
      <c r="C191" s="50">
        <v>43383</v>
      </c>
      <c r="D191" t="s">
        <v>446</v>
      </c>
      <c r="E191">
        <v>90083269.939999998</v>
      </c>
      <c r="F191" t="s">
        <v>378</v>
      </c>
      <c r="G191" t="s">
        <v>447</v>
      </c>
      <c r="H191">
        <v>181009160103</v>
      </c>
      <c r="I191" t="str">
        <f>CashIntraTable[Portfolio]&amp;VALUE(CashIntraTable[Cash Date])&amp;CashIntraTable[Detail]</f>
        <v>SCBFF3MC6433831.2. Switch-in</v>
      </c>
    </row>
    <row r="192" spans="1:9" x14ac:dyDescent="0.2">
      <c r="A192" t="s">
        <v>472</v>
      </c>
      <c r="B192" t="s">
        <v>23</v>
      </c>
      <c r="C192" s="50">
        <v>43382</v>
      </c>
      <c r="D192" t="s">
        <v>446</v>
      </c>
      <c r="E192">
        <v>635210823.5</v>
      </c>
      <c r="F192" t="s">
        <v>377</v>
      </c>
      <c r="G192" t="s">
        <v>447</v>
      </c>
      <c r="H192">
        <v>181009160103</v>
      </c>
      <c r="I192" t="str">
        <f>CashIntraTable[Portfolio]&amp;VALUE(CashIntraTable[Cash Date])&amp;CashIntraTable[Detail]</f>
        <v>SCBFF6MJ9433821.1. Subscription</v>
      </c>
    </row>
    <row r="193" spans="1:9" x14ac:dyDescent="0.2">
      <c r="A193" t="s">
        <v>472</v>
      </c>
      <c r="B193" t="s">
        <v>23</v>
      </c>
      <c r="C193" s="50">
        <v>43382</v>
      </c>
      <c r="D193" t="s">
        <v>446</v>
      </c>
      <c r="E193">
        <v>44502844.539999999</v>
      </c>
      <c r="F193" t="s">
        <v>381</v>
      </c>
      <c r="G193" t="s">
        <v>447</v>
      </c>
      <c r="H193">
        <v>181009160103</v>
      </c>
      <c r="I193" t="str">
        <f>CashIntraTable[Portfolio]&amp;VALUE(CashIntraTable[Cash Date])&amp;CashIntraTable[Detail]</f>
        <v>SCBFF6MJ9433821.1. Subscription (Chq)</v>
      </c>
    </row>
    <row r="194" spans="1:9" x14ac:dyDescent="0.2">
      <c r="A194" t="s">
        <v>472</v>
      </c>
      <c r="B194" t="s">
        <v>23</v>
      </c>
      <c r="C194" s="50">
        <v>43382</v>
      </c>
      <c r="D194" t="s">
        <v>446</v>
      </c>
      <c r="E194">
        <v>826828861.46000004</v>
      </c>
      <c r="F194" t="s">
        <v>378</v>
      </c>
      <c r="G194" t="s">
        <v>447</v>
      </c>
      <c r="H194">
        <v>181009160103</v>
      </c>
      <c r="I194" t="str">
        <f>CashIntraTable[Portfolio]&amp;VALUE(CashIntraTable[Cash Date])&amp;CashIntraTable[Detail]</f>
        <v>SCBFF6MJ9433821.2. Switch-in</v>
      </c>
    </row>
    <row r="195" spans="1:9" x14ac:dyDescent="0.2">
      <c r="A195" t="s">
        <v>473</v>
      </c>
      <c r="B195" t="s">
        <v>23</v>
      </c>
      <c r="C195" s="50">
        <v>43390</v>
      </c>
      <c r="D195" t="s">
        <v>446</v>
      </c>
      <c r="E195">
        <v>23697532.010000002</v>
      </c>
      <c r="F195" t="s">
        <v>377</v>
      </c>
      <c r="G195" t="s">
        <v>447</v>
      </c>
      <c r="H195">
        <v>181009160103</v>
      </c>
      <c r="I195" t="str">
        <f>CashIntraTable[Portfolio]&amp;VALUE(CashIntraTable[Cash Date])&amp;CashIntraTable[Detail]</f>
        <v>SCBFF6MK1433901.1. Subscription</v>
      </c>
    </row>
    <row r="196" spans="1:9" x14ac:dyDescent="0.2">
      <c r="A196" t="s">
        <v>473</v>
      </c>
      <c r="B196" t="s">
        <v>23</v>
      </c>
      <c r="C196" s="50">
        <v>43390</v>
      </c>
      <c r="D196" t="s">
        <v>446</v>
      </c>
      <c r="E196">
        <v>20000000</v>
      </c>
      <c r="F196" t="s">
        <v>381</v>
      </c>
      <c r="G196" t="s">
        <v>447</v>
      </c>
      <c r="H196">
        <v>181009160103</v>
      </c>
      <c r="I196" t="str">
        <f>CashIntraTable[Portfolio]&amp;VALUE(CashIntraTable[Cash Date])&amp;CashIntraTable[Detail]</f>
        <v>SCBFF6MK1433901.1. Subscription (Chq)</v>
      </c>
    </row>
    <row r="197" spans="1:9" x14ac:dyDescent="0.2">
      <c r="A197" t="s">
        <v>473</v>
      </c>
      <c r="B197" t="s">
        <v>23</v>
      </c>
      <c r="C197" s="50">
        <v>43383</v>
      </c>
      <c r="D197" t="s">
        <v>446</v>
      </c>
      <c r="E197">
        <v>47062466.32</v>
      </c>
      <c r="F197" t="s">
        <v>378</v>
      </c>
      <c r="G197" t="s">
        <v>447</v>
      </c>
      <c r="H197">
        <v>181009160103</v>
      </c>
      <c r="I197" t="str">
        <f>CashIntraTable[Portfolio]&amp;VALUE(CashIntraTable[Cash Date])&amp;CashIntraTable[Detail]</f>
        <v>SCBFF6MK1433831.2. Switch-in</v>
      </c>
    </row>
    <row r="198" spans="1:9" x14ac:dyDescent="0.2">
      <c r="A198" t="s">
        <v>474</v>
      </c>
      <c r="B198" t="s">
        <v>23</v>
      </c>
      <c r="C198" s="50">
        <v>43384</v>
      </c>
      <c r="D198" t="s">
        <v>446</v>
      </c>
      <c r="E198">
        <v>-1000000</v>
      </c>
      <c r="F198" t="s">
        <v>379</v>
      </c>
      <c r="G198" t="s">
        <v>447</v>
      </c>
      <c r="H198">
        <v>181009160103</v>
      </c>
      <c r="I198" t="str">
        <f>CashIntraTable[Portfolio]&amp;VALUE(CashIntraTable[Cash Date])&amp;CashIntraTable[Detail]</f>
        <v>SCBFIN433842.1. Redemption</v>
      </c>
    </row>
    <row r="199" spans="1:9" x14ac:dyDescent="0.2">
      <c r="A199" t="s">
        <v>474</v>
      </c>
      <c r="B199" t="s">
        <v>23</v>
      </c>
      <c r="C199" s="50">
        <v>43385</v>
      </c>
      <c r="D199" t="s">
        <v>446</v>
      </c>
      <c r="E199">
        <v>-2204.79</v>
      </c>
      <c r="F199" t="s">
        <v>379</v>
      </c>
      <c r="G199" t="s">
        <v>447</v>
      </c>
      <c r="H199">
        <v>181009160103</v>
      </c>
      <c r="I199" t="str">
        <f>CashIntraTable[Portfolio]&amp;VALUE(CashIntraTable[Cash Date])&amp;CashIntraTable[Detail]</f>
        <v>SCBFIN433852.1. Redemption</v>
      </c>
    </row>
    <row r="200" spans="1:9" x14ac:dyDescent="0.2">
      <c r="A200" t="s">
        <v>474</v>
      </c>
      <c r="B200" t="s">
        <v>23</v>
      </c>
      <c r="C200" s="50">
        <v>43383</v>
      </c>
      <c r="D200" t="s">
        <v>446</v>
      </c>
      <c r="E200">
        <v>-4990909.46</v>
      </c>
      <c r="F200" t="s">
        <v>380</v>
      </c>
      <c r="G200" t="s">
        <v>447</v>
      </c>
      <c r="H200">
        <v>181009160103</v>
      </c>
      <c r="I200" t="str">
        <f>CashIntraTable[Portfolio]&amp;VALUE(CashIntraTable[Cash Date])&amp;CashIntraTable[Detail]</f>
        <v>SCBFIN433832.2. Switch-out</v>
      </c>
    </row>
    <row r="201" spans="1:9" x14ac:dyDescent="0.2">
      <c r="A201" t="s">
        <v>474</v>
      </c>
      <c r="B201" t="s">
        <v>23</v>
      </c>
      <c r="C201" s="50">
        <v>43385</v>
      </c>
      <c r="D201" t="s">
        <v>446</v>
      </c>
      <c r="E201">
        <v>-3067663.55</v>
      </c>
      <c r="F201" t="s">
        <v>380</v>
      </c>
      <c r="G201" t="s">
        <v>447</v>
      </c>
      <c r="H201">
        <v>181009160103</v>
      </c>
      <c r="I201" t="str">
        <f>CashIntraTable[Portfolio]&amp;VALUE(CashIntraTable[Cash Date])&amp;CashIntraTable[Detail]</f>
        <v>SCBFIN433852.2. Switch-out</v>
      </c>
    </row>
    <row r="202" spans="1:9" x14ac:dyDescent="0.2">
      <c r="A202" t="s">
        <v>382</v>
      </c>
      <c r="B202" t="s">
        <v>23</v>
      </c>
      <c r="C202" s="50">
        <v>43382</v>
      </c>
      <c r="D202" t="s">
        <v>446</v>
      </c>
      <c r="E202">
        <v>6221000</v>
      </c>
      <c r="F202" t="s">
        <v>377</v>
      </c>
      <c r="G202" t="s">
        <v>447</v>
      </c>
      <c r="H202">
        <v>181009160103</v>
      </c>
      <c r="I202" t="str">
        <f>CashIntraTable[Portfolio]&amp;VALUE(CashIntraTable[Cash Date])&amp;CashIntraTable[Detail]</f>
        <v>SCBFIXED433821.1. Subscription</v>
      </c>
    </row>
    <row r="203" spans="1:9" x14ac:dyDescent="0.2">
      <c r="A203" t="s">
        <v>382</v>
      </c>
      <c r="B203" t="s">
        <v>23</v>
      </c>
      <c r="C203" s="50">
        <v>43383</v>
      </c>
      <c r="D203" t="s">
        <v>446</v>
      </c>
      <c r="E203">
        <v>623500</v>
      </c>
      <c r="F203" t="s">
        <v>377</v>
      </c>
      <c r="G203" t="s">
        <v>447</v>
      </c>
      <c r="H203">
        <v>181009160103</v>
      </c>
      <c r="I203" t="str">
        <f>CashIntraTable[Portfolio]&amp;VALUE(CashIntraTable[Cash Date])&amp;CashIntraTable[Detail]</f>
        <v>SCBFIXED433831.1. Subscription</v>
      </c>
    </row>
    <row r="204" spans="1:9" x14ac:dyDescent="0.2">
      <c r="A204" t="s">
        <v>382</v>
      </c>
      <c r="B204" t="s">
        <v>23</v>
      </c>
      <c r="C204" s="50">
        <v>43383</v>
      </c>
      <c r="D204" t="s">
        <v>446</v>
      </c>
      <c r="E204">
        <v>10000</v>
      </c>
      <c r="F204" t="s">
        <v>378</v>
      </c>
      <c r="G204" t="s">
        <v>447</v>
      </c>
      <c r="H204">
        <v>181009160103</v>
      </c>
      <c r="I204" t="str">
        <f>CashIntraTable[Portfolio]&amp;VALUE(CashIntraTable[Cash Date])&amp;CashIntraTable[Detail]</f>
        <v>SCBFIXED433831.2. Switch-in</v>
      </c>
    </row>
    <row r="205" spans="1:9" x14ac:dyDescent="0.2">
      <c r="A205" t="s">
        <v>382</v>
      </c>
      <c r="B205" t="s">
        <v>23</v>
      </c>
      <c r="C205" s="50">
        <v>43382</v>
      </c>
      <c r="D205" t="s">
        <v>446</v>
      </c>
      <c r="E205">
        <v>-1259865.73</v>
      </c>
      <c r="F205" t="s">
        <v>379</v>
      </c>
      <c r="G205" t="s">
        <v>447</v>
      </c>
      <c r="H205">
        <v>181009160103</v>
      </c>
      <c r="I205" t="str">
        <f>CashIntraTable[Portfolio]&amp;VALUE(CashIntraTable[Cash Date])&amp;CashIntraTable[Detail]</f>
        <v>SCBFIXED433822.1. Redemption</v>
      </c>
    </row>
    <row r="206" spans="1:9" x14ac:dyDescent="0.2">
      <c r="A206" t="s">
        <v>382</v>
      </c>
      <c r="B206" t="s">
        <v>23</v>
      </c>
      <c r="C206" s="50">
        <v>43383</v>
      </c>
      <c r="D206" t="s">
        <v>446</v>
      </c>
      <c r="E206">
        <v>-2114012.1600000001</v>
      </c>
      <c r="F206" t="s">
        <v>379</v>
      </c>
      <c r="G206" t="s">
        <v>447</v>
      </c>
      <c r="H206">
        <v>181009160103</v>
      </c>
      <c r="I206" t="str">
        <f>CashIntraTable[Portfolio]&amp;VALUE(CashIntraTable[Cash Date])&amp;CashIntraTable[Detail]</f>
        <v>SCBFIXED433832.1. Redemption</v>
      </c>
    </row>
    <row r="207" spans="1:9" x14ac:dyDescent="0.2">
      <c r="A207" t="s">
        <v>382</v>
      </c>
      <c r="B207" t="s">
        <v>23</v>
      </c>
      <c r="C207" s="50">
        <v>43382</v>
      </c>
      <c r="D207" t="s">
        <v>446</v>
      </c>
      <c r="E207">
        <v>-10000</v>
      </c>
      <c r="F207" t="s">
        <v>380</v>
      </c>
      <c r="G207" t="s">
        <v>447</v>
      </c>
      <c r="H207">
        <v>181009160103</v>
      </c>
      <c r="I207" t="str">
        <f>CashIntraTable[Portfolio]&amp;VALUE(CashIntraTable[Cash Date])&amp;CashIntraTable[Detail]</f>
        <v>SCBFIXED433822.2. Switch-out</v>
      </c>
    </row>
    <row r="208" spans="1:9" x14ac:dyDescent="0.2">
      <c r="A208" t="s">
        <v>382</v>
      </c>
      <c r="B208" t="s">
        <v>23</v>
      </c>
      <c r="C208" s="50">
        <v>43383</v>
      </c>
      <c r="D208" t="s">
        <v>446</v>
      </c>
      <c r="E208">
        <v>-2000.09</v>
      </c>
      <c r="F208" t="s">
        <v>380</v>
      </c>
      <c r="G208" t="s">
        <v>447</v>
      </c>
      <c r="H208">
        <v>181009160103</v>
      </c>
      <c r="I208" t="str">
        <f>CashIntraTable[Portfolio]&amp;VALUE(CashIntraTable[Cash Date])&amp;CashIntraTable[Detail]</f>
        <v>SCBFIXED433832.2. Switch-out</v>
      </c>
    </row>
    <row r="209" spans="1:9" x14ac:dyDescent="0.2">
      <c r="A209" t="s">
        <v>475</v>
      </c>
      <c r="B209" t="s">
        <v>23</v>
      </c>
      <c r="C209" s="50">
        <v>43382</v>
      </c>
      <c r="D209" t="s">
        <v>446</v>
      </c>
      <c r="E209">
        <v>23122.28</v>
      </c>
      <c r="F209" t="s">
        <v>377</v>
      </c>
      <c r="G209" t="s">
        <v>447</v>
      </c>
      <c r="H209">
        <v>181009160103</v>
      </c>
      <c r="I209" t="str">
        <f>CashIntraTable[Portfolio]&amp;VALUE(CashIntraTable[Cash Date])&amp;CashIntraTable[Detail]</f>
        <v>SCBFLX433821.1. Subscription</v>
      </c>
    </row>
    <row r="210" spans="1:9" x14ac:dyDescent="0.2">
      <c r="A210" t="s">
        <v>475</v>
      </c>
      <c r="B210" t="s">
        <v>23</v>
      </c>
      <c r="C210" s="50">
        <v>43383</v>
      </c>
      <c r="D210" t="s">
        <v>446</v>
      </c>
      <c r="E210">
        <v>8000</v>
      </c>
      <c r="F210" t="s">
        <v>377</v>
      </c>
      <c r="G210" t="s">
        <v>447</v>
      </c>
      <c r="H210">
        <v>181009160103</v>
      </c>
      <c r="I210" t="str">
        <f>CashIntraTable[Portfolio]&amp;VALUE(CashIntraTable[Cash Date])&amp;CashIntraTable[Detail]</f>
        <v>SCBFLX433831.1. Subscription</v>
      </c>
    </row>
    <row r="211" spans="1:9" x14ac:dyDescent="0.2">
      <c r="A211" t="s">
        <v>475</v>
      </c>
      <c r="B211" t="s">
        <v>23</v>
      </c>
      <c r="C211" s="50">
        <v>43383</v>
      </c>
      <c r="D211" t="s">
        <v>446</v>
      </c>
      <c r="E211">
        <v>-40000</v>
      </c>
      <c r="F211" t="s">
        <v>379</v>
      </c>
      <c r="G211" t="s">
        <v>447</v>
      </c>
      <c r="H211">
        <v>181009160103</v>
      </c>
      <c r="I211" t="str">
        <f>CashIntraTable[Portfolio]&amp;VALUE(CashIntraTable[Cash Date])&amp;CashIntraTable[Detail]</f>
        <v>SCBFLX433832.1. Redemption</v>
      </c>
    </row>
    <row r="212" spans="1:9" x14ac:dyDescent="0.2">
      <c r="A212" t="s">
        <v>383</v>
      </c>
      <c r="B212" t="s">
        <v>23</v>
      </c>
      <c r="C212" s="50">
        <v>43382</v>
      </c>
      <c r="D212" t="s">
        <v>446</v>
      </c>
      <c r="E212">
        <v>13933176.68</v>
      </c>
      <c r="F212" t="s">
        <v>377</v>
      </c>
      <c r="G212" t="s">
        <v>447</v>
      </c>
      <c r="H212">
        <v>181009160103</v>
      </c>
      <c r="I212" t="str">
        <f>CashIntraTable[Portfolio]&amp;VALUE(CashIntraTable[Cash Date])&amp;CashIntraTable[Detail]</f>
        <v>SCBFPFUND433821.1. Subscription</v>
      </c>
    </row>
    <row r="213" spans="1:9" x14ac:dyDescent="0.2">
      <c r="A213" t="s">
        <v>383</v>
      </c>
      <c r="B213" t="s">
        <v>23</v>
      </c>
      <c r="C213" s="50">
        <v>43383</v>
      </c>
      <c r="D213" t="s">
        <v>446</v>
      </c>
      <c r="E213">
        <v>21081516.309999999</v>
      </c>
      <c r="F213" t="s">
        <v>377</v>
      </c>
      <c r="G213" t="s">
        <v>447</v>
      </c>
      <c r="H213">
        <v>181009160103</v>
      </c>
      <c r="I213" t="str">
        <f>CashIntraTable[Portfolio]&amp;VALUE(CashIntraTable[Cash Date])&amp;CashIntraTable[Detail]</f>
        <v>SCBFPFUND433831.1. Subscription</v>
      </c>
    </row>
    <row r="214" spans="1:9" x14ac:dyDescent="0.2">
      <c r="A214" t="s">
        <v>383</v>
      </c>
      <c r="B214" t="s">
        <v>23</v>
      </c>
      <c r="C214" s="50">
        <v>43382</v>
      </c>
      <c r="D214" t="s">
        <v>446</v>
      </c>
      <c r="E214">
        <v>32524284.530000001</v>
      </c>
      <c r="F214" t="s">
        <v>378</v>
      </c>
      <c r="G214" t="s">
        <v>447</v>
      </c>
      <c r="H214">
        <v>181009160103</v>
      </c>
      <c r="I214" t="str">
        <f>CashIntraTable[Portfolio]&amp;VALUE(CashIntraTable[Cash Date])&amp;CashIntraTable[Detail]</f>
        <v>SCBFPFUND433821.2. Switch-in</v>
      </c>
    </row>
    <row r="215" spans="1:9" x14ac:dyDescent="0.2">
      <c r="A215" t="s">
        <v>383</v>
      </c>
      <c r="B215" t="s">
        <v>23</v>
      </c>
      <c r="C215" s="50">
        <v>43383</v>
      </c>
      <c r="D215" t="s">
        <v>446</v>
      </c>
      <c r="E215">
        <v>39080.980000000003</v>
      </c>
      <c r="F215" t="s">
        <v>378</v>
      </c>
      <c r="G215" t="s">
        <v>447</v>
      </c>
      <c r="H215">
        <v>181009160103</v>
      </c>
      <c r="I215" t="str">
        <f>CashIntraTable[Portfolio]&amp;VALUE(CashIntraTable[Cash Date])&amp;CashIntraTable[Detail]</f>
        <v>SCBFPFUND433831.2. Switch-in</v>
      </c>
    </row>
    <row r="216" spans="1:9" x14ac:dyDescent="0.2">
      <c r="A216" t="s">
        <v>383</v>
      </c>
      <c r="B216" t="s">
        <v>23</v>
      </c>
      <c r="C216" s="50">
        <v>43384</v>
      </c>
      <c r="D216" t="s">
        <v>446</v>
      </c>
      <c r="E216">
        <v>20947.240000000002</v>
      </c>
      <c r="F216" t="s">
        <v>378</v>
      </c>
      <c r="G216" t="s">
        <v>447</v>
      </c>
      <c r="H216">
        <v>181009160103</v>
      </c>
      <c r="I216" t="str">
        <f>CashIntraTable[Portfolio]&amp;VALUE(CashIntraTable[Cash Date])&amp;CashIntraTable[Detail]</f>
        <v>SCBFPFUND433841.2. Switch-in</v>
      </c>
    </row>
    <row r="217" spans="1:9" x14ac:dyDescent="0.2">
      <c r="A217" t="s">
        <v>383</v>
      </c>
      <c r="B217" t="s">
        <v>23</v>
      </c>
      <c r="C217" s="50">
        <v>43385</v>
      </c>
      <c r="D217" t="s">
        <v>446</v>
      </c>
      <c r="E217">
        <v>110407.59</v>
      </c>
      <c r="F217" t="s">
        <v>378</v>
      </c>
      <c r="G217" t="s">
        <v>447</v>
      </c>
      <c r="H217">
        <v>181009160103</v>
      </c>
      <c r="I217" t="str">
        <f>CashIntraTable[Portfolio]&amp;VALUE(CashIntraTable[Cash Date])&amp;CashIntraTable[Detail]</f>
        <v>SCBFPFUND433851.2. Switch-in</v>
      </c>
    </row>
    <row r="218" spans="1:9" x14ac:dyDescent="0.2">
      <c r="A218" t="s">
        <v>383</v>
      </c>
      <c r="B218" t="s">
        <v>23</v>
      </c>
      <c r="C218" s="50">
        <v>43389</v>
      </c>
      <c r="D218" t="s">
        <v>446</v>
      </c>
      <c r="E218">
        <v>21000</v>
      </c>
      <c r="F218" t="s">
        <v>378</v>
      </c>
      <c r="G218" t="s">
        <v>447</v>
      </c>
      <c r="H218">
        <v>181009160103</v>
      </c>
      <c r="I218" t="str">
        <f>CashIntraTable[Portfolio]&amp;VALUE(CashIntraTable[Cash Date])&amp;CashIntraTable[Detail]</f>
        <v>SCBFPFUND433891.2. Switch-in</v>
      </c>
    </row>
    <row r="219" spans="1:9" x14ac:dyDescent="0.2">
      <c r="A219" t="s">
        <v>383</v>
      </c>
      <c r="B219" t="s">
        <v>23</v>
      </c>
      <c r="C219" s="50">
        <v>43382</v>
      </c>
      <c r="D219" t="s">
        <v>446</v>
      </c>
      <c r="E219">
        <v>-72287450.379999995</v>
      </c>
      <c r="F219" t="s">
        <v>379</v>
      </c>
      <c r="G219" t="s">
        <v>447</v>
      </c>
      <c r="H219">
        <v>181009160103</v>
      </c>
      <c r="I219" t="str">
        <f>CashIntraTable[Portfolio]&amp;VALUE(CashIntraTable[Cash Date])&amp;CashIntraTable[Detail]</f>
        <v>SCBFPFUND433822.1. Redemption</v>
      </c>
    </row>
    <row r="220" spans="1:9" x14ac:dyDescent="0.2">
      <c r="A220" t="s">
        <v>383</v>
      </c>
      <c r="B220" t="s">
        <v>23</v>
      </c>
      <c r="C220" s="50">
        <v>43383</v>
      </c>
      <c r="D220" t="s">
        <v>446</v>
      </c>
      <c r="E220">
        <v>-35934639.030000001</v>
      </c>
      <c r="F220" t="s">
        <v>379</v>
      </c>
      <c r="G220" t="s">
        <v>447</v>
      </c>
      <c r="H220">
        <v>181009160103</v>
      </c>
      <c r="I220" t="str">
        <f>CashIntraTable[Portfolio]&amp;VALUE(CashIntraTable[Cash Date])&amp;CashIntraTable[Detail]</f>
        <v>SCBFPFUND433832.1. Redemption</v>
      </c>
    </row>
    <row r="221" spans="1:9" x14ac:dyDescent="0.2">
      <c r="A221" t="s">
        <v>383</v>
      </c>
      <c r="B221" t="s">
        <v>23</v>
      </c>
      <c r="C221" s="50">
        <v>43382</v>
      </c>
      <c r="D221" t="s">
        <v>446</v>
      </c>
      <c r="E221">
        <v>-101221631.58</v>
      </c>
      <c r="F221" t="s">
        <v>380</v>
      </c>
      <c r="G221" t="s">
        <v>447</v>
      </c>
      <c r="H221">
        <v>181009160103</v>
      </c>
      <c r="I221" t="str">
        <f>CashIntraTable[Portfolio]&amp;VALUE(CashIntraTable[Cash Date])&amp;CashIntraTable[Detail]</f>
        <v>SCBFPFUND433822.2. Switch-out</v>
      </c>
    </row>
    <row r="222" spans="1:9" x14ac:dyDescent="0.2">
      <c r="A222" t="s">
        <v>383</v>
      </c>
      <c r="B222" t="s">
        <v>23</v>
      </c>
      <c r="C222" s="50">
        <v>43383</v>
      </c>
      <c r="D222" t="s">
        <v>446</v>
      </c>
      <c r="E222">
        <v>-29444340.420000002</v>
      </c>
      <c r="F222" t="s">
        <v>380</v>
      </c>
      <c r="G222" t="s">
        <v>447</v>
      </c>
      <c r="H222">
        <v>181009160103</v>
      </c>
      <c r="I222" t="str">
        <f>CashIntraTable[Portfolio]&amp;VALUE(CashIntraTable[Cash Date])&amp;CashIntraTable[Detail]</f>
        <v>SCBFPFUND433832.2. Switch-out</v>
      </c>
    </row>
    <row r="223" spans="1:9" x14ac:dyDescent="0.2">
      <c r="A223" t="s">
        <v>476</v>
      </c>
      <c r="B223" t="s">
        <v>23</v>
      </c>
      <c r="C223" s="50">
        <v>43383</v>
      </c>
      <c r="D223" t="s">
        <v>446</v>
      </c>
      <c r="E223">
        <v>3000</v>
      </c>
      <c r="F223" t="s">
        <v>377</v>
      </c>
      <c r="G223" t="s">
        <v>447</v>
      </c>
      <c r="H223">
        <v>181009160103</v>
      </c>
      <c r="I223" t="str">
        <f>CashIntraTable[Portfolio]&amp;VALUE(CashIntraTable[Cash Date])&amp;CashIntraTable[Detail]</f>
        <v>SCBFST433831.1. Subscription</v>
      </c>
    </row>
    <row r="224" spans="1:9" x14ac:dyDescent="0.2">
      <c r="A224" t="s">
        <v>476</v>
      </c>
      <c r="B224" t="s">
        <v>23</v>
      </c>
      <c r="C224" s="50">
        <v>43383</v>
      </c>
      <c r="D224" t="s">
        <v>446</v>
      </c>
      <c r="E224">
        <v>150000</v>
      </c>
      <c r="F224" t="s">
        <v>378</v>
      </c>
      <c r="G224" t="s">
        <v>447</v>
      </c>
      <c r="H224">
        <v>181009160103</v>
      </c>
      <c r="I224" t="str">
        <f>CashIntraTable[Portfolio]&amp;VALUE(CashIntraTable[Cash Date])&amp;CashIntraTable[Detail]</f>
        <v>SCBFST433831.2. Switch-in</v>
      </c>
    </row>
    <row r="225" spans="1:9" x14ac:dyDescent="0.2">
      <c r="A225" t="s">
        <v>476</v>
      </c>
      <c r="B225" t="s">
        <v>23</v>
      </c>
      <c r="C225" s="50">
        <v>43385</v>
      </c>
      <c r="D225" t="s">
        <v>446</v>
      </c>
      <c r="E225">
        <v>-242225.3</v>
      </c>
      <c r="F225" t="s">
        <v>379</v>
      </c>
      <c r="G225" t="s">
        <v>447</v>
      </c>
      <c r="H225">
        <v>181009160103</v>
      </c>
      <c r="I225" t="str">
        <f>CashIntraTable[Portfolio]&amp;VALUE(CashIntraTable[Cash Date])&amp;CashIntraTable[Detail]</f>
        <v>SCBFST433852.1. Redemption</v>
      </c>
    </row>
    <row r="226" spans="1:9" x14ac:dyDescent="0.2">
      <c r="A226" t="s">
        <v>476</v>
      </c>
      <c r="B226" t="s">
        <v>23</v>
      </c>
      <c r="C226" s="50">
        <v>43382</v>
      </c>
      <c r="D226" t="s">
        <v>446</v>
      </c>
      <c r="E226">
        <v>-1712323.48</v>
      </c>
      <c r="F226" t="s">
        <v>380</v>
      </c>
      <c r="G226" t="s">
        <v>447</v>
      </c>
      <c r="H226">
        <v>181009160103</v>
      </c>
      <c r="I226" t="str">
        <f>CashIntraTable[Portfolio]&amp;VALUE(CashIntraTable[Cash Date])&amp;CashIntraTable[Detail]</f>
        <v>SCBFST433822.2. Switch-out</v>
      </c>
    </row>
    <row r="227" spans="1:9" x14ac:dyDescent="0.2">
      <c r="A227" t="s">
        <v>476</v>
      </c>
      <c r="B227" t="s">
        <v>23</v>
      </c>
      <c r="C227" s="50">
        <v>43383</v>
      </c>
      <c r="D227" t="s">
        <v>446</v>
      </c>
      <c r="E227">
        <v>-292276.03000000003</v>
      </c>
      <c r="F227" t="s">
        <v>380</v>
      </c>
      <c r="G227" t="s">
        <v>447</v>
      </c>
      <c r="H227">
        <v>181009160103</v>
      </c>
      <c r="I227" t="str">
        <f>CashIntraTable[Portfolio]&amp;VALUE(CashIntraTable[Cash Date])&amp;CashIntraTable[Detail]</f>
        <v>SCBFST433832.2. Switch-out</v>
      </c>
    </row>
    <row r="228" spans="1:9" x14ac:dyDescent="0.2">
      <c r="A228" t="s">
        <v>476</v>
      </c>
      <c r="B228" t="s">
        <v>23</v>
      </c>
      <c r="C228" s="50">
        <v>43385</v>
      </c>
      <c r="D228" t="s">
        <v>446</v>
      </c>
      <c r="E228">
        <v>-1507729.33</v>
      </c>
      <c r="F228" t="s">
        <v>380</v>
      </c>
      <c r="G228" t="s">
        <v>447</v>
      </c>
      <c r="H228">
        <v>181009160103</v>
      </c>
      <c r="I228" t="str">
        <f>CashIntraTable[Portfolio]&amp;VALUE(CashIntraTable[Cash Date])&amp;CashIntraTable[Detail]</f>
        <v>SCBFST433852.2. Switch-out</v>
      </c>
    </row>
    <row r="229" spans="1:9" x14ac:dyDescent="0.2">
      <c r="A229" t="s">
        <v>477</v>
      </c>
      <c r="B229" t="s">
        <v>23</v>
      </c>
      <c r="C229" s="50">
        <v>43383</v>
      </c>
      <c r="D229" t="s">
        <v>446</v>
      </c>
      <c r="E229">
        <v>12600000</v>
      </c>
      <c r="F229" t="s">
        <v>377</v>
      </c>
      <c r="G229" t="s">
        <v>447</v>
      </c>
      <c r="H229">
        <v>181009160103</v>
      </c>
      <c r="I229" t="str">
        <f>CashIntraTable[Portfolio]&amp;VALUE(CashIntraTable[Cash Date])&amp;CashIntraTable[Detail]</f>
        <v>SCBGEAR433831.1. Subscription</v>
      </c>
    </row>
    <row r="230" spans="1:9" x14ac:dyDescent="0.2">
      <c r="A230" t="s">
        <v>478</v>
      </c>
      <c r="B230" t="s">
        <v>23</v>
      </c>
      <c r="C230" s="50">
        <v>43383</v>
      </c>
      <c r="D230" t="s">
        <v>446</v>
      </c>
      <c r="E230">
        <v>881700</v>
      </c>
      <c r="F230" t="s">
        <v>377</v>
      </c>
      <c r="G230" t="s">
        <v>447</v>
      </c>
      <c r="H230">
        <v>181009160103</v>
      </c>
      <c r="I230" t="str">
        <f>CashIntraTable[Portfolio]&amp;VALUE(CashIntraTable[Cash Date])&amp;CashIntraTable[Detail]</f>
        <v>SCBGEQFUND433831.1. Subscription</v>
      </c>
    </row>
    <row r="231" spans="1:9" x14ac:dyDescent="0.2">
      <c r="A231" t="s">
        <v>478</v>
      </c>
      <c r="B231" t="s">
        <v>23</v>
      </c>
      <c r="C231" s="50">
        <v>43383</v>
      </c>
      <c r="D231" t="s">
        <v>446</v>
      </c>
      <c r="E231">
        <v>2884.75</v>
      </c>
      <c r="F231" t="s">
        <v>378</v>
      </c>
      <c r="G231" t="s">
        <v>447</v>
      </c>
      <c r="H231">
        <v>181009160103</v>
      </c>
      <c r="I231" t="str">
        <f>CashIntraTable[Portfolio]&amp;VALUE(CashIntraTable[Cash Date])&amp;CashIntraTable[Detail]</f>
        <v>SCBGEQFUND433831.2. Switch-in</v>
      </c>
    </row>
    <row r="232" spans="1:9" x14ac:dyDescent="0.2">
      <c r="A232" t="s">
        <v>478</v>
      </c>
      <c r="B232" t="s">
        <v>23</v>
      </c>
      <c r="C232" s="50">
        <v>43384</v>
      </c>
      <c r="D232" t="s">
        <v>446</v>
      </c>
      <c r="E232">
        <v>103650.43</v>
      </c>
      <c r="F232" t="s">
        <v>378</v>
      </c>
      <c r="G232" t="s">
        <v>447</v>
      </c>
      <c r="H232">
        <v>181009160103</v>
      </c>
      <c r="I232" t="str">
        <f>CashIntraTable[Portfolio]&amp;VALUE(CashIntraTable[Cash Date])&amp;CashIntraTable[Detail]</f>
        <v>SCBGEQFUND433841.2. Switch-in</v>
      </c>
    </row>
    <row r="233" spans="1:9" x14ac:dyDescent="0.2">
      <c r="A233" t="s">
        <v>478</v>
      </c>
      <c r="B233" t="s">
        <v>23</v>
      </c>
      <c r="C233" s="50">
        <v>43385</v>
      </c>
      <c r="D233" t="s">
        <v>446</v>
      </c>
      <c r="E233">
        <v>102413.75</v>
      </c>
      <c r="F233" t="s">
        <v>378</v>
      </c>
      <c r="G233" t="s">
        <v>447</v>
      </c>
      <c r="H233">
        <v>181009160103</v>
      </c>
      <c r="I233" t="str">
        <f>CashIntraTable[Portfolio]&amp;VALUE(CashIntraTable[Cash Date])&amp;CashIntraTable[Detail]</f>
        <v>SCBGEQFUND433851.2. Switch-in</v>
      </c>
    </row>
    <row r="234" spans="1:9" x14ac:dyDescent="0.2">
      <c r="A234" t="s">
        <v>478</v>
      </c>
      <c r="B234" t="s">
        <v>23</v>
      </c>
      <c r="C234" s="50">
        <v>43389</v>
      </c>
      <c r="D234" t="s">
        <v>446</v>
      </c>
      <c r="E234">
        <v>972.46</v>
      </c>
      <c r="F234" t="s">
        <v>378</v>
      </c>
      <c r="G234" t="s">
        <v>447</v>
      </c>
      <c r="H234">
        <v>181009160103</v>
      </c>
      <c r="I234" t="str">
        <f>CashIntraTable[Portfolio]&amp;VALUE(CashIntraTable[Cash Date])&amp;CashIntraTable[Detail]</f>
        <v>SCBGEQFUND433891.2. Switch-in</v>
      </c>
    </row>
    <row r="235" spans="1:9" x14ac:dyDescent="0.2">
      <c r="A235" t="s">
        <v>478</v>
      </c>
      <c r="B235" t="s">
        <v>23</v>
      </c>
      <c r="C235" s="50">
        <v>43382</v>
      </c>
      <c r="D235" t="s">
        <v>446</v>
      </c>
      <c r="E235">
        <v>-39083.360000000001</v>
      </c>
      <c r="F235" t="s">
        <v>379</v>
      </c>
      <c r="G235" t="s">
        <v>447</v>
      </c>
      <c r="H235">
        <v>181009160103</v>
      </c>
      <c r="I235" t="str">
        <f>CashIntraTable[Portfolio]&amp;VALUE(CashIntraTable[Cash Date])&amp;CashIntraTable[Detail]</f>
        <v>SCBGEQFUND433822.1. Redemption</v>
      </c>
    </row>
    <row r="236" spans="1:9" x14ac:dyDescent="0.2">
      <c r="A236" t="s">
        <v>478</v>
      </c>
      <c r="B236" t="s">
        <v>23</v>
      </c>
      <c r="C236" s="50">
        <v>43383</v>
      </c>
      <c r="D236" t="s">
        <v>446</v>
      </c>
      <c r="E236">
        <v>-10000</v>
      </c>
      <c r="F236" t="s">
        <v>379</v>
      </c>
      <c r="G236" t="s">
        <v>447</v>
      </c>
      <c r="H236">
        <v>181009160103</v>
      </c>
      <c r="I236" t="str">
        <f>CashIntraTable[Portfolio]&amp;VALUE(CashIntraTable[Cash Date])&amp;CashIntraTable[Detail]</f>
        <v>SCBGEQFUND433832.1. Redemption</v>
      </c>
    </row>
    <row r="237" spans="1:9" x14ac:dyDescent="0.2">
      <c r="A237" t="s">
        <v>478</v>
      </c>
      <c r="B237" t="s">
        <v>23</v>
      </c>
      <c r="C237" s="50">
        <v>43384</v>
      </c>
      <c r="D237" t="s">
        <v>446</v>
      </c>
      <c r="E237">
        <v>-102796.6</v>
      </c>
      <c r="F237" t="s">
        <v>379</v>
      </c>
      <c r="G237" t="s">
        <v>447</v>
      </c>
      <c r="H237">
        <v>181009160103</v>
      </c>
      <c r="I237" t="str">
        <f>CashIntraTable[Portfolio]&amp;VALUE(CashIntraTable[Cash Date])&amp;CashIntraTable[Detail]</f>
        <v>SCBGEQFUND433842.1. Redemption</v>
      </c>
    </row>
    <row r="238" spans="1:9" x14ac:dyDescent="0.2">
      <c r="A238" t="s">
        <v>478</v>
      </c>
      <c r="B238" t="s">
        <v>23</v>
      </c>
      <c r="C238" s="50">
        <v>43390</v>
      </c>
      <c r="D238" t="s">
        <v>446</v>
      </c>
      <c r="E238">
        <v>-2759967.47</v>
      </c>
      <c r="F238" t="s">
        <v>379</v>
      </c>
      <c r="G238" t="s">
        <v>447</v>
      </c>
      <c r="H238">
        <v>181009160103</v>
      </c>
      <c r="I238" t="str">
        <f>CashIntraTable[Portfolio]&amp;VALUE(CashIntraTable[Cash Date])&amp;CashIntraTable[Detail]</f>
        <v>SCBGEQFUND433902.1. Redemption</v>
      </c>
    </row>
    <row r="239" spans="1:9" x14ac:dyDescent="0.2">
      <c r="A239" t="s">
        <v>478</v>
      </c>
      <c r="B239" t="s">
        <v>23</v>
      </c>
      <c r="C239" s="50">
        <v>43382</v>
      </c>
      <c r="D239" t="s">
        <v>446</v>
      </c>
      <c r="E239">
        <v>-667714.61</v>
      </c>
      <c r="F239" t="s">
        <v>380</v>
      </c>
      <c r="G239" t="s">
        <v>447</v>
      </c>
      <c r="H239">
        <v>181009160103</v>
      </c>
      <c r="I239" t="str">
        <f>CashIntraTable[Portfolio]&amp;VALUE(CashIntraTable[Cash Date])&amp;CashIntraTable[Detail]</f>
        <v>SCBGEQFUND433822.2. Switch-out</v>
      </c>
    </row>
    <row r="240" spans="1:9" x14ac:dyDescent="0.2">
      <c r="A240" t="s">
        <v>478</v>
      </c>
      <c r="B240" t="s">
        <v>23</v>
      </c>
      <c r="C240" s="50">
        <v>43383</v>
      </c>
      <c r="D240" t="s">
        <v>446</v>
      </c>
      <c r="E240">
        <v>-502958.04</v>
      </c>
      <c r="F240" t="s">
        <v>380</v>
      </c>
      <c r="G240" t="s">
        <v>447</v>
      </c>
      <c r="H240">
        <v>181009160103</v>
      </c>
      <c r="I240" t="str">
        <f>CashIntraTable[Portfolio]&amp;VALUE(CashIntraTable[Cash Date])&amp;CashIntraTable[Detail]</f>
        <v>SCBGEQFUND433832.2. Switch-out</v>
      </c>
    </row>
    <row r="241" spans="1:9" x14ac:dyDescent="0.2">
      <c r="A241" t="s">
        <v>478</v>
      </c>
      <c r="B241" t="s">
        <v>23</v>
      </c>
      <c r="C241" s="50">
        <v>43384</v>
      </c>
      <c r="D241" t="s">
        <v>446</v>
      </c>
      <c r="E241">
        <v>-517915.68</v>
      </c>
      <c r="F241" t="s">
        <v>380</v>
      </c>
      <c r="G241" t="s">
        <v>447</v>
      </c>
      <c r="H241">
        <v>181009160103</v>
      </c>
      <c r="I241" t="str">
        <f>CashIntraTable[Portfolio]&amp;VALUE(CashIntraTable[Cash Date])&amp;CashIntraTable[Detail]</f>
        <v>SCBGEQFUND433842.2. Switch-out</v>
      </c>
    </row>
    <row r="242" spans="1:9" x14ac:dyDescent="0.2">
      <c r="A242" t="s">
        <v>478</v>
      </c>
      <c r="B242" t="s">
        <v>23</v>
      </c>
      <c r="C242" s="50">
        <v>43385</v>
      </c>
      <c r="D242" t="s">
        <v>446</v>
      </c>
      <c r="E242">
        <v>-3056823.87</v>
      </c>
      <c r="F242" t="s">
        <v>380</v>
      </c>
      <c r="G242" t="s">
        <v>447</v>
      </c>
      <c r="H242">
        <v>181009160103</v>
      </c>
      <c r="I242" t="str">
        <f>CashIntraTable[Portfolio]&amp;VALUE(CashIntraTable[Cash Date])&amp;CashIntraTable[Detail]</f>
        <v>SCBGEQFUND433852.2. Switch-out</v>
      </c>
    </row>
    <row r="243" spans="1:9" x14ac:dyDescent="0.2">
      <c r="A243" t="s">
        <v>478</v>
      </c>
      <c r="B243" t="s">
        <v>23</v>
      </c>
      <c r="C243" s="50">
        <v>43390</v>
      </c>
      <c r="D243" t="s">
        <v>446</v>
      </c>
      <c r="E243">
        <v>-74646.91</v>
      </c>
      <c r="F243" t="s">
        <v>380</v>
      </c>
      <c r="G243" t="s">
        <v>447</v>
      </c>
      <c r="H243">
        <v>181009160103</v>
      </c>
      <c r="I243" t="str">
        <f>CashIntraTable[Portfolio]&amp;VALUE(CashIntraTable[Cash Date])&amp;CashIntraTable[Detail]</f>
        <v>SCBGEQFUND433902.2. Switch-out</v>
      </c>
    </row>
    <row r="244" spans="1:9" x14ac:dyDescent="0.2">
      <c r="A244" t="s">
        <v>479</v>
      </c>
      <c r="B244" t="s">
        <v>23</v>
      </c>
      <c r="C244" s="50">
        <v>43383</v>
      </c>
      <c r="D244" t="s">
        <v>446</v>
      </c>
      <c r="E244">
        <v>123500</v>
      </c>
      <c r="F244" t="s">
        <v>377</v>
      </c>
      <c r="G244" t="s">
        <v>447</v>
      </c>
      <c r="H244">
        <v>181009160103</v>
      </c>
      <c r="I244" t="str">
        <f>CashIntraTable[Portfolio]&amp;VALUE(CashIntraTable[Cash Date])&amp;CashIntraTable[Detail]</f>
        <v>SCBGHC433831.1. Subscription</v>
      </c>
    </row>
    <row r="245" spans="1:9" x14ac:dyDescent="0.2">
      <c r="A245" t="s">
        <v>479</v>
      </c>
      <c r="B245" t="s">
        <v>23</v>
      </c>
      <c r="C245" s="50">
        <v>43382</v>
      </c>
      <c r="D245" t="s">
        <v>446</v>
      </c>
      <c r="E245">
        <v>200000</v>
      </c>
      <c r="F245" t="s">
        <v>378</v>
      </c>
      <c r="G245" t="s">
        <v>447</v>
      </c>
      <c r="H245">
        <v>181009160103</v>
      </c>
      <c r="I245" t="str">
        <f>CashIntraTable[Portfolio]&amp;VALUE(CashIntraTable[Cash Date])&amp;CashIntraTable[Detail]</f>
        <v>SCBGHC433821.2. Switch-in</v>
      </c>
    </row>
    <row r="246" spans="1:9" x14ac:dyDescent="0.2">
      <c r="A246" t="s">
        <v>479</v>
      </c>
      <c r="B246" t="s">
        <v>23</v>
      </c>
      <c r="C246" s="50">
        <v>43382</v>
      </c>
      <c r="D246" t="s">
        <v>446</v>
      </c>
      <c r="E246">
        <v>-41097.449999999997</v>
      </c>
      <c r="F246" t="s">
        <v>379</v>
      </c>
      <c r="G246" t="s">
        <v>447</v>
      </c>
      <c r="H246">
        <v>181009160103</v>
      </c>
      <c r="I246" t="str">
        <f>CashIntraTable[Portfolio]&amp;VALUE(CashIntraTable[Cash Date])&amp;CashIntraTable[Detail]</f>
        <v>SCBGHC433822.1. Redemption</v>
      </c>
    </row>
    <row r="247" spans="1:9" x14ac:dyDescent="0.2">
      <c r="A247" t="s">
        <v>479</v>
      </c>
      <c r="B247" t="s">
        <v>23</v>
      </c>
      <c r="C247" s="50">
        <v>43383</v>
      </c>
      <c r="D247" t="s">
        <v>446</v>
      </c>
      <c r="E247">
        <v>-301881.13</v>
      </c>
      <c r="F247" t="s">
        <v>379</v>
      </c>
      <c r="G247" t="s">
        <v>447</v>
      </c>
      <c r="H247">
        <v>181009160103</v>
      </c>
      <c r="I247" t="str">
        <f>CashIntraTable[Portfolio]&amp;VALUE(CashIntraTable[Cash Date])&amp;CashIntraTable[Detail]</f>
        <v>SCBGHC433832.1. Redemption</v>
      </c>
    </row>
    <row r="248" spans="1:9" x14ac:dyDescent="0.2">
      <c r="A248" t="s">
        <v>479</v>
      </c>
      <c r="B248" t="s">
        <v>23</v>
      </c>
      <c r="C248" s="50">
        <v>43384</v>
      </c>
      <c r="D248" t="s">
        <v>446</v>
      </c>
      <c r="E248">
        <v>-2281138.2000000002</v>
      </c>
      <c r="F248" t="s">
        <v>379</v>
      </c>
      <c r="G248" t="s">
        <v>447</v>
      </c>
      <c r="H248">
        <v>181009160103</v>
      </c>
      <c r="I248" t="str">
        <f>CashIntraTable[Portfolio]&amp;VALUE(CashIntraTable[Cash Date])&amp;CashIntraTable[Detail]</f>
        <v>SCBGHC433842.1. Redemption</v>
      </c>
    </row>
    <row r="249" spans="1:9" x14ac:dyDescent="0.2">
      <c r="A249" t="s">
        <v>479</v>
      </c>
      <c r="B249" t="s">
        <v>23</v>
      </c>
      <c r="C249" s="50">
        <v>43385</v>
      </c>
      <c r="D249" t="s">
        <v>446</v>
      </c>
      <c r="E249">
        <v>-1020391.17</v>
      </c>
      <c r="F249" t="s">
        <v>379</v>
      </c>
      <c r="G249" t="s">
        <v>447</v>
      </c>
      <c r="H249">
        <v>181009160103</v>
      </c>
      <c r="I249" t="str">
        <f>CashIntraTable[Portfolio]&amp;VALUE(CashIntraTable[Cash Date])&amp;CashIntraTable[Detail]</f>
        <v>SCBGHC433852.1. Redemption</v>
      </c>
    </row>
    <row r="250" spans="1:9" x14ac:dyDescent="0.2">
      <c r="A250" t="s">
        <v>479</v>
      </c>
      <c r="B250" t="s">
        <v>23</v>
      </c>
      <c r="C250" s="50">
        <v>43389</v>
      </c>
      <c r="D250" t="s">
        <v>446</v>
      </c>
      <c r="E250">
        <v>-7404912.8799999999</v>
      </c>
      <c r="F250" t="s">
        <v>379</v>
      </c>
      <c r="G250" t="s">
        <v>447</v>
      </c>
      <c r="H250">
        <v>181009160103</v>
      </c>
      <c r="I250" t="str">
        <f>CashIntraTable[Portfolio]&amp;VALUE(CashIntraTable[Cash Date])&amp;CashIntraTable[Detail]</f>
        <v>SCBGHC433892.1. Redemption</v>
      </c>
    </row>
    <row r="251" spans="1:9" x14ac:dyDescent="0.2">
      <c r="A251" t="s">
        <v>479</v>
      </c>
      <c r="B251" t="s">
        <v>23</v>
      </c>
      <c r="C251" s="50">
        <v>43383</v>
      </c>
      <c r="D251" t="s">
        <v>446</v>
      </c>
      <c r="E251">
        <v>-4847479.5199999996</v>
      </c>
      <c r="F251" t="s">
        <v>380</v>
      </c>
      <c r="G251" t="s">
        <v>447</v>
      </c>
      <c r="H251">
        <v>181009160103</v>
      </c>
      <c r="I251" t="str">
        <f>CashIntraTable[Portfolio]&amp;VALUE(CashIntraTable[Cash Date])&amp;CashIntraTable[Detail]</f>
        <v>SCBGHC433832.2. Switch-out</v>
      </c>
    </row>
    <row r="252" spans="1:9" x14ac:dyDescent="0.2">
      <c r="A252" t="s">
        <v>479</v>
      </c>
      <c r="B252" t="s">
        <v>23</v>
      </c>
      <c r="C252" s="50">
        <v>43384</v>
      </c>
      <c r="D252" t="s">
        <v>446</v>
      </c>
      <c r="E252">
        <v>-1490793.05</v>
      </c>
      <c r="F252" t="s">
        <v>380</v>
      </c>
      <c r="G252" t="s">
        <v>447</v>
      </c>
      <c r="H252">
        <v>181009160103</v>
      </c>
      <c r="I252" t="str">
        <f>CashIntraTable[Portfolio]&amp;VALUE(CashIntraTable[Cash Date])&amp;CashIntraTable[Detail]</f>
        <v>SCBGHC433842.2. Switch-out</v>
      </c>
    </row>
    <row r="253" spans="1:9" x14ac:dyDescent="0.2">
      <c r="A253" t="s">
        <v>479</v>
      </c>
      <c r="B253" t="s">
        <v>23</v>
      </c>
      <c r="C253" s="50">
        <v>43389</v>
      </c>
      <c r="D253" t="s">
        <v>446</v>
      </c>
      <c r="E253">
        <v>-12694.73</v>
      </c>
      <c r="F253" t="s">
        <v>380</v>
      </c>
      <c r="G253" t="s">
        <v>447</v>
      </c>
      <c r="H253">
        <v>181009160103</v>
      </c>
      <c r="I253" t="str">
        <f>CashIntraTable[Portfolio]&amp;VALUE(CashIntraTable[Cash Date])&amp;CashIntraTable[Detail]</f>
        <v>SCBGHC433892.2. Switch-out</v>
      </c>
    </row>
    <row r="254" spans="1:9" x14ac:dyDescent="0.2">
      <c r="A254" t="s">
        <v>480</v>
      </c>
      <c r="B254" t="s">
        <v>23</v>
      </c>
      <c r="C254" s="50">
        <v>43382</v>
      </c>
      <c r="D254" t="s">
        <v>446</v>
      </c>
      <c r="E254">
        <v>1000</v>
      </c>
      <c r="F254" t="s">
        <v>377</v>
      </c>
      <c r="G254" t="s">
        <v>447</v>
      </c>
      <c r="H254">
        <v>181009160103</v>
      </c>
      <c r="I254" t="str">
        <f>CashIntraTable[Portfolio]&amp;VALUE(CashIntraTable[Cash Date])&amp;CashIntraTable[Detail]</f>
        <v>SCBGIF433821.1. Subscription</v>
      </c>
    </row>
    <row r="255" spans="1:9" x14ac:dyDescent="0.2">
      <c r="A255" t="s">
        <v>480</v>
      </c>
      <c r="B255" t="s">
        <v>23</v>
      </c>
      <c r="C255" s="50">
        <v>43383</v>
      </c>
      <c r="D255" t="s">
        <v>446</v>
      </c>
      <c r="E255">
        <v>10000</v>
      </c>
      <c r="F255" t="s">
        <v>377</v>
      </c>
      <c r="G255" t="s">
        <v>447</v>
      </c>
      <c r="H255">
        <v>181009160103</v>
      </c>
      <c r="I255" t="str">
        <f>CashIntraTable[Portfolio]&amp;VALUE(CashIntraTable[Cash Date])&amp;CashIntraTable[Detail]</f>
        <v>SCBGIF433831.1. Subscription</v>
      </c>
    </row>
    <row r="256" spans="1:9" x14ac:dyDescent="0.2">
      <c r="A256" t="s">
        <v>480</v>
      </c>
      <c r="B256" t="s">
        <v>23</v>
      </c>
      <c r="C256" s="50">
        <v>43383</v>
      </c>
      <c r="D256" t="s">
        <v>446</v>
      </c>
      <c r="E256">
        <v>-8730.85</v>
      </c>
      <c r="F256" t="s">
        <v>379</v>
      </c>
      <c r="G256" t="s">
        <v>447</v>
      </c>
      <c r="H256">
        <v>181009160103</v>
      </c>
      <c r="I256" t="str">
        <f>CashIntraTable[Portfolio]&amp;VALUE(CashIntraTable[Cash Date])&amp;CashIntraTable[Detail]</f>
        <v>SCBGIF433832.1. Redemption</v>
      </c>
    </row>
    <row r="257" spans="1:9" x14ac:dyDescent="0.2">
      <c r="A257" t="s">
        <v>480</v>
      </c>
      <c r="B257" t="s">
        <v>23</v>
      </c>
      <c r="C257" s="50">
        <v>43389</v>
      </c>
      <c r="D257" t="s">
        <v>446</v>
      </c>
      <c r="E257">
        <v>-119720.56</v>
      </c>
      <c r="F257" t="s">
        <v>379</v>
      </c>
      <c r="G257" t="s">
        <v>447</v>
      </c>
      <c r="H257">
        <v>181009160103</v>
      </c>
      <c r="I257" t="str">
        <f>CashIntraTable[Portfolio]&amp;VALUE(CashIntraTable[Cash Date])&amp;CashIntraTable[Detail]</f>
        <v>SCBGIF433892.1. Redemption</v>
      </c>
    </row>
    <row r="258" spans="1:9" x14ac:dyDescent="0.2">
      <c r="A258" t="s">
        <v>480</v>
      </c>
      <c r="B258" t="s">
        <v>23</v>
      </c>
      <c r="C258" s="50">
        <v>43382</v>
      </c>
      <c r="D258" t="s">
        <v>446</v>
      </c>
      <c r="E258">
        <v>-2093.9299999999998</v>
      </c>
      <c r="F258" t="s">
        <v>380</v>
      </c>
      <c r="G258" t="s">
        <v>447</v>
      </c>
      <c r="H258">
        <v>181009160103</v>
      </c>
      <c r="I258" t="str">
        <f>CashIntraTable[Portfolio]&amp;VALUE(CashIntraTable[Cash Date])&amp;CashIntraTable[Detail]</f>
        <v>SCBGIF433822.2. Switch-out</v>
      </c>
    </row>
    <row r="259" spans="1:9" x14ac:dyDescent="0.2">
      <c r="A259" t="s">
        <v>481</v>
      </c>
      <c r="B259" t="s">
        <v>23</v>
      </c>
      <c r="C259" s="50">
        <v>43383</v>
      </c>
      <c r="D259" t="s">
        <v>446</v>
      </c>
      <c r="E259">
        <v>18000</v>
      </c>
      <c r="F259" t="s">
        <v>377</v>
      </c>
      <c r="G259" t="s">
        <v>447</v>
      </c>
      <c r="H259">
        <v>181009160103</v>
      </c>
      <c r="I259" t="str">
        <f>CashIntraTable[Portfolio]&amp;VALUE(CashIntraTable[Cash Date])&amp;CashIntraTable[Detail]</f>
        <v>SCBGIN433831.1. Subscription</v>
      </c>
    </row>
    <row r="260" spans="1:9" x14ac:dyDescent="0.2">
      <c r="A260" t="s">
        <v>481</v>
      </c>
      <c r="B260" t="s">
        <v>23</v>
      </c>
      <c r="C260" s="50">
        <v>43383</v>
      </c>
      <c r="D260" t="s">
        <v>446</v>
      </c>
      <c r="E260">
        <v>1914.2</v>
      </c>
      <c r="F260" t="s">
        <v>378</v>
      </c>
      <c r="G260" t="s">
        <v>447</v>
      </c>
      <c r="H260">
        <v>181009160103</v>
      </c>
      <c r="I260" t="str">
        <f>CashIntraTable[Portfolio]&amp;VALUE(CashIntraTable[Cash Date])&amp;CashIntraTable[Detail]</f>
        <v>SCBGIN433831.2. Switch-in</v>
      </c>
    </row>
    <row r="261" spans="1:9" x14ac:dyDescent="0.2">
      <c r="A261" t="s">
        <v>481</v>
      </c>
      <c r="B261" t="s">
        <v>23</v>
      </c>
      <c r="C261" s="50">
        <v>43390</v>
      </c>
      <c r="D261" t="s">
        <v>446</v>
      </c>
      <c r="E261">
        <v>991.88</v>
      </c>
      <c r="F261" t="s">
        <v>378</v>
      </c>
      <c r="G261" t="s">
        <v>447</v>
      </c>
      <c r="H261">
        <v>181009160103</v>
      </c>
      <c r="I261" t="str">
        <f>CashIntraTable[Portfolio]&amp;VALUE(CashIntraTable[Cash Date])&amp;CashIntraTable[Detail]</f>
        <v>SCBGIN433901.2. Switch-in</v>
      </c>
    </row>
    <row r="262" spans="1:9" x14ac:dyDescent="0.2">
      <c r="A262" t="s">
        <v>481</v>
      </c>
      <c r="B262" t="s">
        <v>23</v>
      </c>
      <c r="C262" s="50">
        <v>43382</v>
      </c>
      <c r="D262" t="s">
        <v>446</v>
      </c>
      <c r="E262">
        <v>-15767081.26</v>
      </c>
      <c r="F262" t="s">
        <v>379</v>
      </c>
      <c r="G262" t="s">
        <v>447</v>
      </c>
      <c r="H262">
        <v>181009160103</v>
      </c>
      <c r="I262" t="str">
        <f>CashIntraTable[Portfolio]&amp;VALUE(CashIntraTable[Cash Date])&amp;CashIntraTable[Detail]</f>
        <v>SCBGIN433822.1. Redemption</v>
      </c>
    </row>
    <row r="263" spans="1:9" x14ac:dyDescent="0.2">
      <c r="A263" t="s">
        <v>481</v>
      </c>
      <c r="B263" t="s">
        <v>23</v>
      </c>
      <c r="C263" s="50">
        <v>43383</v>
      </c>
      <c r="D263" t="s">
        <v>446</v>
      </c>
      <c r="E263">
        <v>-9090741.5899999999</v>
      </c>
      <c r="F263" t="s">
        <v>379</v>
      </c>
      <c r="G263" t="s">
        <v>447</v>
      </c>
      <c r="H263">
        <v>181009160103</v>
      </c>
      <c r="I263" t="str">
        <f>CashIntraTable[Portfolio]&amp;VALUE(CashIntraTable[Cash Date])&amp;CashIntraTable[Detail]</f>
        <v>SCBGIN433832.1. Redemption</v>
      </c>
    </row>
    <row r="264" spans="1:9" x14ac:dyDescent="0.2">
      <c r="A264" t="s">
        <v>481</v>
      </c>
      <c r="B264" t="s">
        <v>23</v>
      </c>
      <c r="C264" s="50">
        <v>43384</v>
      </c>
      <c r="D264" t="s">
        <v>446</v>
      </c>
      <c r="E264">
        <v>-41369397.57</v>
      </c>
      <c r="F264" t="s">
        <v>379</v>
      </c>
      <c r="G264" t="s">
        <v>447</v>
      </c>
      <c r="H264">
        <v>181009160103</v>
      </c>
      <c r="I264" t="str">
        <f>CashIntraTable[Portfolio]&amp;VALUE(CashIntraTable[Cash Date])&amp;CashIntraTable[Detail]</f>
        <v>SCBGIN433842.1. Redemption</v>
      </c>
    </row>
    <row r="265" spans="1:9" x14ac:dyDescent="0.2">
      <c r="A265" t="s">
        <v>481</v>
      </c>
      <c r="B265" t="s">
        <v>23</v>
      </c>
      <c r="C265" s="50">
        <v>43385</v>
      </c>
      <c r="D265" t="s">
        <v>446</v>
      </c>
      <c r="E265">
        <v>-14511168.039999999</v>
      </c>
      <c r="F265" t="s">
        <v>379</v>
      </c>
      <c r="G265" t="s">
        <v>447</v>
      </c>
      <c r="H265">
        <v>181009160103</v>
      </c>
      <c r="I265" t="str">
        <f>CashIntraTable[Portfolio]&amp;VALUE(CashIntraTable[Cash Date])&amp;CashIntraTable[Detail]</f>
        <v>SCBGIN433852.1. Redemption</v>
      </c>
    </row>
    <row r="266" spans="1:9" x14ac:dyDescent="0.2">
      <c r="A266" t="s">
        <v>481</v>
      </c>
      <c r="B266" t="s">
        <v>23</v>
      </c>
      <c r="C266" s="50">
        <v>43389</v>
      </c>
      <c r="D266" t="s">
        <v>446</v>
      </c>
      <c r="E266">
        <v>-17477705.280000001</v>
      </c>
      <c r="F266" t="s">
        <v>379</v>
      </c>
      <c r="G266" t="s">
        <v>447</v>
      </c>
      <c r="H266">
        <v>181009160103</v>
      </c>
      <c r="I266" t="str">
        <f>CashIntraTable[Portfolio]&amp;VALUE(CashIntraTable[Cash Date])&amp;CashIntraTable[Detail]</f>
        <v>SCBGIN433892.1. Redemption</v>
      </c>
    </row>
    <row r="267" spans="1:9" x14ac:dyDescent="0.2">
      <c r="A267" t="s">
        <v>481</v>
      </c>
      <c r="B267" t="s">
        <v>23</v>
      </c>
      <c r="C267" s="50">
        <v>43382</v>
      </c>
      <c r="D267" t="s">
        <v>446</v>
      </c>
      <c r="E267">
        <v>-11448626.74</v>
      </c>
      <c r="F267" t="s">
        <v>380</v>
      </c>
      <c r="G267" t="s">
        <v>447</v>
      </c>
      <c r="H267">
        <v>181009160103</v>
      </c>
      <c r="I267" t="str">
        <f>CashIntraTable[Portfolio]&amp;VALUE(CashIntraTable[Cash Date])&amp;CashIntraTable[Detail]</f>
        <v>SCBGIN433822.2. Switch-out</v>
      </c>
    </row>
    <row r="268" spans="1:9" x14ac:dyDescent="0.2">
      <c r="A268" t="s">
        <v>481</v>
      </c>
      <c r="B268" t="s">
        <v>23</v>
      </c>
      <c r="C268" s="50">
        <v>43383</v>
      </c>
      <c r="D268" t="s">
        <v>446</v>
      </c>
      <c r="E268">
        <v>-7090184.8799999999</v>
      </c>
      <c r="F268" t="s">
        <v>380</v>
      </c>
      <c r="G268" t="s">
        <v>447</v>
      </c>
      <c r="H268">
        <v>181009160103</v>
      </c>
      <c r="I268" t="str">
        <f>CashIntraTable[Portfolio]&amp;VALUE(CashIntraTable[Cash Date])&amp;CashIntraTable[Detail]</f>
        <v>SCBGIN433832.2. Switch-out</v>
      </c>
    </row>
    <row r="269" spans="1:9" x14ac:dyDescent="0.2">
      <c r="A269" t="s">
        <v>481</v>
      </c>
      <c r="B269" t="s">
        <v>23</v>
      </c>
      <c r="C269" s="50">
        <v>43384</v>
      </c>
      <c r="D269" t="s">
        <v>446</v>
      </c>
      <c r="E269">
        <v>-31151274.75</v>
      </c>
      <c r="F269" t="s">
        <v>380</v>
      </c>
      <c r="G269" t="s">
        <v>447</v>
      </c>
      <c r="H269">
        <v>181009160103</v>
      </c>
      <c r="I269" t="str">
        <f>CashIntraTable[Portfolio]&amp;VALUE(CashIntraTable[Cash Date])&amp;CashIntraTable[Detail]</f>
        <v>SCBGIN433842.2. Switch-out</v>
      </c>
    </row>
    <row r="270" spans="1:9" x14ac:dyDescent="0.2">
      <c r="A270" t="s">
        <v>481</v>
      </c>
      <c r="B270" t="s">
        <v>23</v>
      </c>
      <c r="C270" s="50">
        <v>43385</v>
      </c>
      <c r="D270" t="s">
        <v>446</v>
      </c>
      <c r="E270">
        <v>-5043285.82</v>
      </c>
      <c r="F270" t="s">
        <v>380</v>
      </c>
      <c r="G270" t="s">
        <v>447</v>
      </c>
      <c r="H270">
        <v>181009160103</v>
      </c>
      <c r="I270" t="str">
        <f>CashIntraTable[Portfolio]&amp;VALUE(CashIntraTable[Cash Date])&amp;CashIntraTable[Detail]</f>
        <v>SCBGIN433852.2. Switch-out</v>
      </c>
    </row>
    <row r="271" spans="1:9" x14ac:dyDescent="0.2">
      <c r="A271" t="s">
        <v>481</v>
      </c>
      <c r="B271" t="s">
        <v>23</v>
      </c>
      <c r="C271" s="50">
        <v>43389</v>
      </c>
      <c r="D271" t="s">
        <v>446</v>
      </c>
      <c r="E271">
        <v>-24914280.23</v>
      </c>
      <c r="F271" t="s">
        <v>380</v>
      </c>
      <c r="G271" t="s">
        <v>447</v>
      </c>
      <c r="H271">
        <v>181009160103</v>
      </c>
      <c r="I271" t="str">
        <f>CashIntraTable[Portfolio]&amp;VALUE(CashIntraTable[Cash Date])&amp;CashIntraTable[Detail]</f>
        <v>SCBGIN433892.2. Switch-out</v>
      </c>
    </row>
    <row r="272" spans="1:9" x14ac:dyDescent="0.2">
      <c r="A272" t="s">
        <v>482</v>
      </c>
      <c r="B272" t="s">
        <v>23</v>
      </c>
      <c r="C272" s="50">
        <v>43383</v>
      </c>
      <c r="D272" t="s">
        <v>446</v>
      </c>
      <c r="E272">
        <v>-971868.2</v>
      </c>
      <c r="F272" t="s">
        <v>380</v>
      </c>
      <c r="G272" t="s">
        <v>447</v>
      </c>
      <c r="H272">
        <v>181009160103</v>
      </c>
      <c r="I272" t="str">
        <f>CashIntraTable[Portfolio]&amp;VALUE(CashIntraTable[Cash Date])&amp;CashIntraTable[Detail]</f>
        <v>SCBGLOWP433832.2. Switch-out</v>
      </c>
    </row>
    <row r="273" spans="1:9" x14ac:dyDescent="0.2">
      <c r="A273" t="s">
        <v>483</v>
      </c>
      <c r="B273" t="s">
        <v>23</v>
      </c>
      <c r="C273" s="50">
        <v>43398</v>
      </c>
      <c r="D273" t="s">
        <v>446</v>
      </c>
      <c r="E273">
        <v>1000</v>
      </c>
      <c r="F273" t="s">
        <v>377</v>
      </c>
      <c r="G273" t="s">
        <v>447</v>
      </c>
      <c r="H273">
        <v>181009160103</v>
      </c>
      <c r="I273" t="str">
        <f>CashIntraTable[Portfolio]&amp;VALUE(CashIntraTable[Cash Date])&amp;CashIntraTable[Detail]</f>
        <v>SCBGMT433981.1. Subscription</v>
      </c>
    </row>
    <row r="274" spans="1:9" x14ac:dyDescent="0.2">
      <c r="A274" t="s">
        <v>483</v>
      </c>
      <c r="B274" t="s">
        <v>23</v>
      </c>
      <c r="C274" s="50">
        <v>43404</v>
      </c>
      <c r="D274" t="s">
        <v>446</v>
      </c>
      <c r="E274">
        <v>-1361872.95</v>
      </c>
      <c r="F274" t="s">
        <v>379</v>
      </c>
      <c r="G274" t="s">
        <v>447</v>
      </c>
      <c r="H274">
        <v>181009160103</v>
      </c>
      <c r="I274" t="str">
        <f>CashIntraTable[Portfolio]&amp;VALUE(CashIntraTable[Cash Date])&amp;CashIntraTable[Detail]</f>
        <v>SCBGMT434042.1. Redemption</v>
      </c>
    </row>
    <row r="275" spans="1:9" x14ac:dyDescent="0.2">
      <c r="A275" t="s">
        <v>483</v>
      </c>
      <c r="B275" t="s">
        <v>23</v>
      </c>
      <c r="C275" s="50">
        <v>43404</v>
      </c>
      <c r="D275" t="s">
        <v>446</v>
      </c>
      <c r="E275">
        <v>-499353.41</v>
      </c>
      <c r="F275" t="s">
        <v>380</v>
      </c>
      <c r="G275" t="s">
        <v>447</v>
      </c>
      <c r="H275">
        <v>181009160103</v>
      </c>
      <c r="I275" t="str">
        <f>CashIntraTable[Portfolio]&amp;VALUE(CashIntraTable[Cash Date])&amp;CashIntraTable[Detail]</f>
        <v>SCBGMT434042.2. Switch-out</v>
      </c>
    </row>
    <row r="276" spans="1:9" x14ac:dyDescent="0.2">
      <c r="A276" t="s">
        <v>484</v>
      </c>
      <c r="B276" t="s">
        <v>23</v>
      </c>
      <c r="C276" s="50">
        <v>43383</v>
      </c>
      <c r="D276" t="s">
        <v>446</v>
      </c>
      <c r="E276">
        <v>235079.7</v>
      </c>
      <c r="F276" t="s">
        <v>377</v>
      </c>
      <c r="G276" t="s">
        <v>447</v>
      </c>
      <c r="H276">
        <v>181009160103</v>
      </c>
      <c r="I276" t="str">
        <f>CashIntraTable[Portfolio]&amp;VALUE(CashIntraTable[Cash Date])&amp;CashIntraTable[Detail]</f>
        <v>SCBGOLD433831.1. Subscription</v>
      </c>
    </row>
    <row r="277" spans="1:9" x14ac:dyDescent="0.2">
      <c r="A277" t="s">
        <v>484</v>
      </c>
      <c r="B277" t="s">
        <v>23</v>
      </c>
      <c r="C277" s="50">
        <v>43383</v>
      </c>
      <c r="D277" t="s">
        <v>446</v>
      </c>
      <c r="E277">
        <v>53000</v>
      </c>
      <c r="F277" t="s">
        <v>378</v>
      </c>
      <c r="G277" t="s">
        <v>447</v>
      </c>
      <c r="H277">
        <v>181009160103</v>
      </c>
      <c r="I277" t="str">
        <f>CashIntraTable[Portfolio]&amp;VALUE(CashIntraTable[Cash Date])&amp;CashIntraTable[Detail]</f>
        <v>SCBGOLD433831.2. Switch-in</v>
      </c>
    </row>
    <row r="278" spans="1:9" x14ac:dyDescent="0.2">
      <c r="A278" t="s">
        <v>484</v>
      </c>
      <c r="B278" t="s">
        <v>23</v>
      </c>
      <c r="C278" s="50">
        <v>43384</v>
      </c>
      <c r="D278" t="s">
        <v>446</v>
      </c>
      <c r="E278">
        <v>97020.26</v>
      </c>
      <c r="F278" t="s">
        <v>378</v>
      </c>
      <c r="G278" t="s">
        <v>447</v>
      </c>
      <c r="H278">
        <v>181009160103</v>
      </c>
      <c r="I278" t="str">
        <f>CashIntraTable[Portfolio]&amp;VALUE(CashIntraTable[Cash Date])&amp;CashIntraTable[Detail]</f>
        <v>SCBGOLD433841.2. Switch-in</v>
      </c>
    </row>
    <row r="279" spans="1:9" x14ac:dyDescent="0.2">
      <c r="A279" t="s">
        <v>484</v>
      </c>
      <c r="B279" t="s">
        <v>23</v>
      </c>
      <c r="C279" s="50">
        <v>43385</v>
      </c>
      <c r="D279" t="s">
        <v>446</v>
      </c>
      <c r="E279">
        <v>6178.84</v>
      </c>
      <c r="F279" t="s">
        <v>378</v>
      </c>
      <c r="G279" t="s">
        <v>447</v>
      </c>
      <c r="H279">
        <v>181009160103</v>
      </c>
      <c r="I279" t="str">
        <f>CashIntraTable[Portfolio]&amp;VALUE(CashIntraTable[Cash Date])&amp;CashIntraTable[Detail]</f>
        <v>SCBGOLD433851.2. Switch-in</v>
      </c>
    </row>
    <row r="280" spans="1:9" x14ac:dyDescent="0.2">
      <c r="A280" t="s">
        <v>484</v>
      </c>
      <c r="B280" t="s">
        <v>23</v>
      </c>
      <c r="C280" s="50">
        <v>43390</v>
      </c>
      <c r="D280" t="s">
        <v>446</v>
      </c>
      <c r="E280">
        <v>991.88</v>
      </c>
      <c r="F280" t="s">
        <v>378</v>
      </c>
      <c r="G280" t="s">
        <v>447</v>
      </c>
      <c r="H280">
        <v>181009160103</v>
      </c>
      <c r="I280" t="str">
        <f>CashIntraTable[Portfolio]&amp;VALUE(CashIntraTable[Cash Date])&amp;CashIntraTable[Detail]</f>
        <v>SCBGOLD433901.2. Switch-in</v>
      </c>
    </row>
    <row r="281" spans="1:9" x14ac:dyDescent="0.2">
      <c r="A281" t="s">
        <v>484</v>
      </c>
      <c r="B281" t="s">
        <v>23</v>
      </c>
      <c r="C281" s="50">
        <v>43382</v>
      </c>
      <c r="D281" t="s">
        <v>446</v>
      </c>
      <c r="E281">
        <v>-504024</v>
      </c>
      <c r="F281" t="s">
        <v>379</v>
      </c>
      <c r="G281" t="s">
        <v>447</v>
      </c>
      <c r="H281">
        <v>181009160103</v>
      </c>
      <c r="I281" t="str">
        <f>CashIntraTable[Portfolio]&amp;VALUE(CashIntraTable[Cash Date])&amp;CashIntraTable[Detail]</f>
        <v>SCBGOLD433822.1. Redemption</v>
      </c>
    </row>
    <row r="282" spans="1:9" x14ac:dyDescent="0.2">
      <c r="A282" t="s">
        <v>484</v>
      </c>
      <c r="B282" t="s">
        <v>23</v>
      </c>
      <c r="C282" s="50">
        <v>43383</v>
      </c>
      <c r="D282" t="s">
        <v>446</v>
      </c>
      <c r="E282">
        <v>-21837.8</v>
      </c>
      <c r="F282" t="s">
        <v>379</v>
      </c>
      <c r="G282" t="s">
        <v>447</v>
      </c>
      <c r="H282">
        <v>181009160103</v>
      </c>
      <c r="I282" t="str">
        <f>CashIntraTable[Portfolio]&amp;VALUE(CashIntraTable[Cash Date])&amp;CashIntraTable[Detail]</f>
        <v>SCBGOLD433832.1. Redemption</v>
      </c>
    </row>
    <row r="283" spans="1:9" x14ac:dyDescent="0.2">
      <c r="A283" t="s">
        <v>484</v>
      </c>
      <c r="B283" t="s">
        <v>23</v>
      </c>
      <c r="C283" s="50">
        <v>43385</v>
      </c>
      <c r="D283" t="s">
        <v>446</v>
      </c>
      <c r="E283">
        <v>-189382.21</v>
      </c>
      <c r="F283" t="s">
        <v>379</v>
      </c>
      <c r="G283" t="s">
        <v>447</v>
      </c>
      <c r="H283">
        <v>181009160103</v>
      </c>
      <c r="I283" t="str">
        <f>CashIntraTable[Portfolio]&amp;VALUE(CashIntraTable[Cash Date])&amp;CashIntraTable[Detail]</f>
        <v>SCBGOLD433852.1. Redemption</v>
      </c>
    </row>
    <row r="284" spans="1:9" x14ac:dyDescent="0.2">
      <c r="A284" t="s">
        <v>484</v>
      </c>
      <c r="B284" t="s">
        <v>23</v>
      </c>
      <c r="C284" s="50">
        <v>43382</v>
      </c>
      <c r="D284" t="s">
        <v>446</v>
      </c>
      <c r="E284">
        <v>-7896.56</v>
      </c>
      <c r="F284" t="s">
        <v>380</v>
      </c>
      <c r="G284" t="s">
        <v>447</v>
      </c>
      <c r="H284">
        <v>181009160103</v>
      </c>
      <c r="I284" t="str">
        <f>CashIntraTable[Portfolio]&amp;VALUE(CashIntraTable[Cash Date])&amp;CashIntraTable[Detail]</f>
        <v>SCBGOLD433822.2. Switch-out</v>
      </c>
    </row>
    <row r="285" spans="1:9" x14ac:dyDescent="0.2">
      <c r="A285" t="s">
        <v>484</v>
      </c>
      <c r="B285" t="s">
        <v>23</v>
      </c>
      <c r="C285" s="50">
        <v>43383</v>
      </c>
      <c r="D285" t="s">
        <v>446</v>
      </c>
      <c r="E285">
        <v>-12995.69</v>
      </c>
      <c r="F285" t="s">
        <v>380</v>
      </c>
      <c r="G285" t="s">
        <v>447</v>
      </c>
      <c r="H285">
        <v>181009160103</v>
      </c>
      <c r="I285" t="str">
        <f>CashIntraTable[Portfolio]&amp;VALUE(CashIntraTable[Cash Date])&amp;CashIntraTable[Detail]</f>
        <v>SCBGOLD433832.2. Switch-out</v>
      </c>
    </row>
    <row r="286" spans="1:9" x14ac:dyDescent="0.2">
      <c r="A286" t="s">
        <v>484</v>
      </c>
      <c r="B286" t="s">
        <v>23</v>
      </c>
      <c r="C286" s="50">
        <v>43384</v>
      </c>
      <c r="D286" t="s">
        <v>446</v>
      </c>
      <c r="E286">
        <v>-510474.36</v>
      </c>
      <c r="F286" t="s">
        <v>380</v>
      </c>
      <c r="G286" t="s">
        <v>447</v>
      </c>
      <c r="H286">
        <v>181009160103</v>
      </c>
      <c r="I286" t="str">
        <f>CashIntraTable[Portfolio]&amp;VALUE(CashIntraTable[Cash Date])&amp;CashIntraTable[Detail]</f>
        <v>SCBGOLD433842.2. Switch-out</v>
      </c>
    </row>
    <row r="287" spans="1:9" x14ac:dyDescent="0.2">
      <c r="A287" t="s">
        <v>484</v>
      </c>
      <c r="B287" t="s">
        <v>23</v>
      </c>
      <c r="C287" s="50">
        <v>43385</v>
      </c>
      <c r="D287" t="s">
        <v>446</v>
      </c>
      <c r="E287">
        <v>-1051.05</v>
      </c>
      <c r="F287" t="s">
        <v>380</v>
      </c>
      <c r="G287" t="s">
        <v>447</v>
      </c>
      <c r="H287">
        <v>181009160103</v>
      </c>
      <c r="I287" t="str">
        <f>CashIntraTable[Portfolio]&amp;VALUE(CashIntraTable[Cash Date])&amp;CashIntraTable[Detail]</f>
        <v>SCBGOLD433852.2. Switch-out</v>
      </c>
    </row>
    <row r="288" spans="1:9" x14ac:dyDescent="0.2">
      <c r="A288" t="s">
        <v>485</v>
      </c>
      <c r="B288" t="s">
        <v>23</v>
      </c>
      <c r="C288" s="50">
        <v>43383</v>
      </c>
      <c r="D288" t="s">
        <v>446</v>
      </c>
      <c r="E288">
        <v>262800</v>
      </c>
      <c r="F288" t="s">
        <v>377</v>
      </c>
      <c r="G288" t="s">
        <v>447</v>
      </c>
      <c r="H288">
        <v>181009160103</v>
      </c>
      <c r="I288" t="str">
        <f>CashIntraTable[Portfolio]&amp;VALUE(CashIntraTable[Cash Date])&amp;CashIntraTable[Detail]</f>
        <v>SCBGOLDHFUND433831.1. Subscription</v>
      </c>
    </row>
    <row r="289" spans="1:9" x14ac:dyDescent="0.2">
      <c r="A289" t="s">
        <v>485</v>
      </c>
      <c r="B289" t="s">
        <v>23</v>
      </c>
      <c r="C289" s="50">
        <v>43383</v>
      </c>
      <c r="D289" t="s">
        <v>446</v>
      </c>
      <c r="E289">
        <v>585139.25</v>
      </c>
      <c r="F289" t="s">
        <v>378</v>
      </c>
      <c r="G289" t="s">
        <v>447</v>
      </c>
      <c r="H289">
        <v>181009160103</v>
      </c>
      <c r="I289" t="str">
        <f>CashIntraTable[Portfolio]&amp;VALUE(CashIntraTable[Cash Date])&amp;CashIntraTable[Detail]</f>
        <v>SCBGOLDHFUND433831.2. Switch-in</v>
      </c>
    </row>
    <row r="290" spans="1:9" x14ac:dyDescent="0.2">
      <c r="A290" t="s">
        <v>485</v>
      </c>
      <c r="B290" t="s">
        <v>23</v>
      </c>
      <c r="C290" s="50">
        <v>43384</v>
      </c>
      <c r="D290" t="s">
        <v>446</v>
      </c>
      <c r="E290">
        <v>39546.269999999997</v>
      </c>
      <c r="F290" t="s">
        <v>378</v>
      </c>
      <c r="G290" t="s">
        <v>447</v>
      </c>
      <c r="H290">
        <v>181009160103</v>
      </c>
      <c r="I290" t="str">
        <f>CashIntraTable[Portfolio]&amp;VALUE(CashIntraTable[Cash Date])&amp;CashIntraTable[Detail]</f>
        <v>SCBGOLDHFUND433841.2. Switch-in</v>
      </c>
    </row>
    <row r="291" spans="1:9" x14ac:dyDescent="0.2">
      <c r="A291" t="s">
        <v>485</v>
      </c>
      <c r="B291" t="s">
        <v>23</v>
      </c>
      <c r="C291" s="50">
        <v>43382</v>
      </c>
      <c r="D291" t="s">
        <v>446</v>
      </c>
      <c r="E291">
        <v>-103170.67</v>
      </c>
      <c r="F291" t="s">
        <v>379</v>
      </c>
      <c r="G291" t="s">
        <v>447</v>
      </c>
      <c r="H291">
        <v>181009160103</v>
      </c>
      <c r="I291" t="str">
        <f>CashIntraTable[Portfolio]&amp;VALUE(CashIntraTable[Cash Date])&amp;CashIntraTable[Detail]</f>
        <v>SCBGOLDHFUND433822.1. Redemption</v>
      </c>
    </row>
    <row r="292" spans="1:9" x14ac:dyDescent="0.2">
      <c r="A292" t="s">
        <v>485</v>
      </c>
      <c r="B292" t="s">
        <v>23</v>
      </c>
      <c r="C292" s="50">
        <v>43383</v>
      </c>
      <c r="D292" t="s">
        <v>446</v>
      </c>
      <c r="E292">
        <v>-230053.48</v>
      </c>
      <c r="F292" t="s">
        <v>379</v>
      </c>
      <c r="G292" t="s">
        <v>447</v>
      </c>
      <c r="H292">
        <v>181009160103</v>
      </c>
      <c r="I292" t="str">
        <f>CashIntraTable[Portfolio]&amp;VALUE(CashIntraTable[Cash Date])&amp;CashIntraTable[Detail]</f>
        <v>SCBGOLDHFUND433832.1. Redemption</v>
      </c>
    </row>
    <row r="293" spans="1:9" x14ac:dyDescent="0.2">
      <c r="A293" t="s">
        <v>485</v>
      </c>
      <c r="B293" t="s">
        <v>23</v>
      </c>
      <c r="C293" s="50">
        <v>43384</v>
      </c>
      <c r="D293" t="s">
        <v>446</v>
      </c>
      <c r="E293">
        <v>-55890.47</v>
      </c>
      <c r="F293" t="s">
        <v>379</v>
      </c>
      <c r="G293" t="s">
        <v>447</v>
      </c>
      <c r="H293">
        <v>181009160103</v>
      </c>
      <c r="I293" t="str">
        <f>CashIntraTable[Portfolio]&amp;VALUE(CashIntraTable[Cash Date])&amp;CashIntraTable[Detail]</f>
        <v>SCBGOLDHFUND433842.1. Redemption</v>
      </c>
    </row>
    <row r="294" spans="1:9" x14ac:dyDescent="0.2">
      <c r="A294" t="s">
        <v>485</v>
      </c>
      <c r="B294" t="s">
        <v>23</v>
      </c>
      <c r="C294" s="50">
        <v>43385</v>
      </c>
      <c r="D294" t="s">
        <v>446</v>
      </c>
      <c r="E294">
        <v>-1452349.09</v>
      </c>
      <c r="F294" t="s">
        <v>379</v>
      </c>
      <c r="G294" t="s">
        <v>447</v>
      </c>
      <c r="H294">
        <v>181009160103</v>
      </c>
      <c r="I294" t="str">
        <f>CashIntraTable[Portfolio]&amp;VALUE(CashIntraTable[Cash Date])&amp;CashIntraTable[Detail]</f>
        <v>SCBGOLDHFUND433852.1. Redemption</v>
      </c>
    </row>
    <row r="295" spans="1:9" x14ac:dyDescent="0.2">
      <c r="A295" t="s">
        <v>485</v>
      </c>
      <c r="B295" t="s">
        <v>23</v>
      </c>
      <c r="C295" s="50">
        <v>43382</v>
      </c>
      <c r="D295" t="s">
        <v>446</v>
      </c>
      <c r="E295">
        <v>-18273.650000000001</v>
      </c>
      <c r="F295" t="s">
        <v>380</v>
      </c>
      <c r="G295" t="s">
        <v>447</v>
      </c>
      <c r="H295">
        <v>181009160103</v>
      </c>
      <c r="I295" t="str">
        <f>CashIntraTable[Portfolio]&amp;VALUE(CashIntraTable[Cash Date])&amp;CashIntraTable[Detail]</f>
        <v>SCBGOLDHFUND433822.2. Switch-out</v>
      </c>
    </row>
    <row r="296" spans="1:9" x14ac:dyDescent="0.2">
      <c r="A296" t="s">
        <v>485</v>
      </c>
      <c r="B296" t="s">
        <v>23</v>
      </c>
      <c r="C296" s="50">
        <v>43383</v>
      </c>
      <c r="D296" t="s">
        <v>446</v>
      </c>
      <c r="E296">
        <v>-6822.72</v>
      </c>
      <c r="F296" t="s">
        <v>380</v>
      </c>
      <c r="G296" t="s">
        <v>447</v>
      </c>
      <c r="H296">
        <v>181009160103</v>
      </c>
      <c r="I296" t="str">
        <f>CashIntraTable[Portfolio]&amp;VALUE(CashIntraTable[Cash Date])&amp;CashIntraTable[Detail]</f>
        <v>SCBGOLDHFUND433832.2. Switch-out</v>
      </c>
    </row>
    <row r="297" spans="1:9" x14ac:dyDescent="0.2">
      <c r="A297" t="s">
        <v>485</v>
      </c>
      <c r="B297" t="s">
        <v>23</v>
      </c>
      <c r="C297" s="50">
        <v>43384</v>
      </c>
      <c r="D297" t="s">
        <v>446</v>
      </c>
      <c r="E297">
        <v>-8278.39</v>
      </c>
      <c r="F297" t="s">
        <v>380</v>
      </c>
      <c r="G297" t="s">
        <v>447</v>
      </c>
      <c r="H297">
        <v>181009160103</v>
      </c>
      <c r="I297" t="str">
        <f>CashIntraTable[Portfolio]&amp;VALUE(CashIntraTable[Cash Date])&amp;CashIntraTable[Detail]</f>
        <v>SCBGOLDHFUND433842.2. Switch-out</v>
      </c>
    </row>
    <row r="298" spans="1:9" x14ac:dyDescent="0.2">
      <c r="A298" t="s">
        <v>485</v>
      </c>
      <c r="B298" t="s">
        <v>23</v>
      </c>
      <c r="C298" s="50">
        <v>43385</v>
      </c>
      <c r="D298" t="s">
        <v>446</v>
      </c>
      <c r="E298">
        <v>-79518.539999999994</v>
      </c>
      <c r="F298" t="s">
        <v>380</v>
      </c>
      <c r="G298" t="s">
        <v>447</v>
      </c>
      <c r="H298">
        <v>181009160103</v>
      </c>
      <c r="I298" t="str">
        <f>CashIntraTable[Portfolio]&amp;VALUE(CashIntraTable[Cash Date])&amp;CashIntraTable[Detail]</f>
        <v>SCBGOLDHFUND433852.2. Switch-out</v>
      </c>
    </row>
    <row r="299" spans="1:9" x14ac:dyDescent="0.2">
      <c r="A299" t="s">
        <v>486</v>
      </c>
      <c r="B299" t="s">
        <v>23</v>
      </c>
      <c r="C299" s="50">
        <v>43383</v>
      </c>
      <c r="D299" t="s">
        <v>446</v>
      </c>
      <c r="E299">
        <v>118500</v>
      </c>
      <c r="F299" t="s">
        <v>377</v>
      </c>
      <c r="G299" t="s">
        <v>447</v>
      </c>
      <c r="H299">
        <v>181009160103</v>
      </c>
      <c r="I299" t="str">
        <f>CashIntraTable[Portfolio]&amp;VALUE(CashIntraTable[Cash Date])&amp;CashIntraTable[Detail]</f>
        <v>SCBGOLDHRMF433831.1. Subscription</v>
      </c>
    </row>
    <row r="300" spans="1:9" x14ac:dyDescent="0.2">
      <c r="A300" t="s">
        <v>486</v>
      </c>
      <c r="B300" t="s">
        <v>23</v>
      </c>
      <c r="C300" s="50">
        <v>43383</v>
      </c>
      <c r="D300" t="s">
        <v>446</v>
      </c>
      <c r="E300">
        <v>186050</v>
      </c>
      <c r="F300" t="s">
        <v>381</v>
      </c>
      <c r="G300" t="s">
        <v>447</v>
      </c>
      <c r="H300">
        <v>181009160103</v>
      </c>
      <c r="I300" t="str">
        <f>CashIntraTable[Portfolio]&amp;VALUE(CashIntraTable[Cash Date])&amp;CashIntraTable[Detail]</f>
        <v>SCBGOLDHRMF433831.1. Subscription (Chq)</v>
      </c>
    </row>
    <row r="301" spans="1:9" x14ac:dyDescent="0.2">
      <c r="A301" t="s">
        <v>486</v>
      </c>
      <c r="B301" t="s">
        <v>23</v>
      </c>
      <c r="C301" s="50">
        <v>43382</v>
      </c>
      <c r="D301" t="s">
        <v>446</v>
      </c>
      <c r="E301">
        <v>39367.599999999999</v>
      </c>
      <c r="F301" t="s">
        <v>378</v>
      </c>
      <c r="G301" t="s">
        <v>447</v>
      </c>
      <c r="H301">
        <v>181009160103</v>
      </c>
      <c r="I301" t="str">
        <f>CashIntraTable[Portfolio]&amp;VALUE(CashIntraTable[Cash Date])&amp;CashIntraTable[Detail]</f>
        <v>SCBGOLDHRMF433821.2. Switch-in</v>
      </c>
    </row>
    <row r="302" spans="1:9" x14ac:dyDescent="0.2">
      <c r="A302" t="s">
        <v>486</v>
      </c>
      <c r="B302" t="s">
        <v>23</v>
      </c>
      <c r="C302" s="50">
        <v>43384</v>
      </c>
      <c r="D302" t="s">
        <v>446</v>
      </c>
      <c r="E302">
        <v>997345.49</v>
      </c>
      <c r="F302" t="s">
        <v>378</v>
      </c>
      <c r="G302" t="s">
        <v>447</v>
      </c>
      <c r="H302">
        <v>181009160103</v>
      </c>
      <c r="I302" t="str">
        <f>CashIntraTable[Portfolio]&amp;VALUE(CashIntraTable[Cash Date])&amp;CashIntraTable[Detail]</f>
        <v>SCBGOLDHRMF433841.2. Switch-in</v>
      </c>
    </row>
    <row r="303" spans="1:9" x14ac:dyDescent="0.2">
      <c r="A303" t="s">
        <v>486</v>
      </c>
      <c r="B303" t="s">
        <v>23</v>
      </c>
      <c r="C303" s="50">
        <v>43382</v>
      </c>
      <c r="D303" t="s">
        <v>446</v>
      </c>
      <c r="E303">
        <v>-10023.65</v>
      </c>
      <c r="F303" t="s">
        <v>379</v>
      </c>
      <c r="G303" t="s">
        <v>447</v>
      </c>
      <c r="H303">
        <v>181009160103</v>
      </c>
      <c r="I303" t="str">
        <f>CashIntraTable[Portfolio]&amp;VALUE(CashIntraTable[Cash Date])&amp;CashIntraTable[Detail]</f>
        <v>SCBGOLDHRMF433822.1. Redemption</v>
      </c>
    </row>
    <row r="304" spans="1:9" x14ac:dyDescent="0.2">
      <c r="A304" t="s">
        <v>486</v>
      </c>
      <c r="B304" t="s">
        <v>23</v>
      </c>
      <c r="C304" s="50">
        <v>43384</v>
      </c>
      <c r="D304" t="s">
        <v>446</v>
      </c>
      <c r="E304">
        <v>-1998.63</v>
      </c>
      <c r="F304" t="s">
        <v>379</v>
      </c>
      <c r="G304" t="s">
        <v>447</v>
      </c>
      <c r="H304">
        <v>181009160103</v>
      </c>
      <c r="I304" t="str">
        <f>CashIntraTable[Portfolio]&amp;VALUE(CashIntraTable[Cash Date])&amp;CashIntraTable[Detail]</f>
        <v>SCBGOLDHRMF433842.1. Redemption</v>
      </c>
    </row>
    <row r="305" spans="1:9" x14ac:dyDescent="0.2">
      <c r="A305" t="s">
        <v>486</v>
      </c>
      <c r="B305" t="s">
        <v>23</v>
      </c>
      <c r="C305" s="50">
        <v>43385</v>
      </c>
      <c r="D305" t="s">
        <v>446</v>
      </c>
      <c r="E305">
        <v>-35248.75</v>
      </c>
      <c r="F305" t="s">
        <v>379</v>
      </c>
      <c r="G305" t="s">
        <v>447</v>
      </c>
      <c r="H305">
        <v>181009160103</v>
      </c>
      <c r="I305" t="str">
        <f>CashIntraTable[Portfolio]&amp;VALUE(CashIntraTable[Cash Date])&amp;CashIntraTable[Detail]</f>
        <v>SCBGOLDHRMF433852.1. Redemption</v>
      </c>
    </row>
    <row r="306" spans="1:9" x14ac:dyDescent="0.2">
      <c r="A306" t="s">
        <v>486</v>
      </c>
      <c r="B306" t="s">
        <v>23</v>
      </c>
      <c r="C306" s="50">
        <v>43382</v>
      </c>
      <c r="D306" t="s">
        <v>446</v>
      </c>
      <c r="E306">
        <v>-2371127.5699999998</v>
      </c>
      <c r="F306" t="s">
        <v>380</v>
      </c>
      <c r="G306" t="s">
        <v>447</v>
      </c>
      <c r="H306">
        <v>181009160103</v>
      </c>
      <c r="I306" t="str">
        <f>CashIntraTable[Portfolio]&amp;VALUE(CashIntraTable[Cash Date])&amp;CashIntraTable[Detail]</f>
        <v>SCBGOLDHRMF433822.2. Switch-out</v>
      </c>
    </row>
    <row r="307" spans="1:9" x14ac:dyDescent="0.2">
      <c r="A307" t="s">
        <v>486</v>
      </c>
      <c r="B307" t="s">
        <v>23</v>
      </c>
      <c r="C307" s="50">
        <v>43383</v>
      </c>
      <c r="D307" t="s">
        <v>446</v>
      </c>
      <c r="E307">
        <v>-685698.2</v>
      </c>
      <c r="F307" t="s">
        <v>380</v>
      </c>
      <c r="G307" t="s">
        <v>447</v>
      </c>
      <c r="H307">
        <v>181009160103</v>
      </c>
      <c r="I307" t="str">
        <f>CashIntraTable[Portfolio]&amp;VALUE(CashIntraTable[Cash Date])&amp;CashIntraTable[Detail]</f>
        <v>SCBGOLDHRMF433832.2. Switch-out</v>
      </c>
    </row>
    <row r="308" spans="1:9" x14ac:dyDescent="0.2">
      <c r="A308" t="s">
        <v>486</v>
      </c>
      <c r="B308" t="s">
        <v>23</v>
      </c>
      <c r="C308" s="50">
        <v>43384</v>
      </c>
      <c r="D308" t="s">
        <v>446</v>
      </c>
      <c r="E308">
        <v>-867842.08</v>
      </c>
      <c r="F308" t="s">
        <v>380</v>
      </c>
      <c r="G308" t="s">
        <v>447</v>
      </c>
      <c r="H308">
        <v>181009160103</v>
      </c>
      <c r="I308" t="str">
        <f>CashIntraTable[Portfolio]&amp;VALUE(CashIntraTable[Cash Date])&amp;CashIntraTable[Detail]</f>
        <v>SCBGOLDHRMF433842.2. Switch-out</v>
      </c>
    </row>
    <row r="309" spans="1:9" x14ac:dyDescent="0.2">
      <c r="A309" t="s">
        <v>486</v>
      </c>
      <c r="B309" t="s">
        <v>23</v>
      </c>
      <c r="C309" s="50">
        <v>43385</v>
      </c>
      <c r="D309" t="s">
        <v>446</v>
      </c>
      <c r="E309">
        <v>-135000</v>
      </c>
      <c r="F309" t="s">
        <v>380</v>
      </c>
      <c r="G309" t="s">
        <v>447</v>
      </c>
      <c r="H309">
        <v>181009160103</v>
      </c>
      <c r="I309" t="str">
        <f>CashIntraTable[Portfolio]&amp;VALUE(CashIntraTable[Cash Date])&amp;CashIntraTable[Detail]</f>
        <v>SCBGOLDHRMF433852.2. Switch-out</v>
      </c>
    </row>
    <row r="310" spans="1:9" x14ac:dyDescent="0.2">
      <c r="A310" t="s">
        <v>487</v>
      </c>
      <c r="B310" t="s">
        <v>23</v>
      </c>
      <c r="C310" s="50">
        <v>43383</v>
      </c>
      <c r="D310" t="s">
        <v>446</v>
      </c>
      <c r="E310">
        <v>53000</v>
      </c>
      <c r="F310" t="s">
        <v>377</v>
      </c>
      <c r="G310" t="s">
        <v>447</v>
      </c>
      <c r="H310">
        <v>181009160103</v>
      </c>
      <c r="I310" t="str">
        <f>CashIntraTable[Portfolio]&amp;VALUE(CashIntraTable[Cash Date])&amp;CashIntraTable[Detail]</f>
        <v>SCBGPLUS433831.1. Subscription</v>
      </c>
    </row>
    <row r="311" spans="1:9" x14ac:dyDescent="0.2">
      <c r="A311" t="s">
        <v>487</v>
      </c>
      <c r="B311" t="s">
        <v>23</v>
      </c>
      <c r="C311" s="50">
        <v>43382</v>
      </c>
      <c r="D311" t="s">
        <v>446</v>
      </c>
      <c r="E311">
        <v>-5000000</v>
      </c>
      <c r="F311" t="s">
        <v>379</v>
      </c>
      <c r="G311" t="s">
        <v>447</v>
      </c>
      <c r="H311">
        <v>181009160103</v>
      </c>
      <c r="I311" t="str">
        <f>CashIntraTable[Portfolio]&amp;VALUE(CashIntraTable[Cash Date])&amp;CashIntraTable[Detail]</f>
        <v>SCBGPLUS433822.1. Redemption</v>
      </c>
    </row>
    <row r="312" spans="1:9" x14ac:dyDescent="0.2">
      <c r="A312" t="s">
        <v>487</v>
      </c>
      <c r="B312" t="s">
        <v>23</v>
      </c>
      <c r="C312" s="50">
        <v>43383</v>
      </c>
      <c r="D312" t="s">
        <v>446</v>
      </c>
      <c r="E312">
        <v>-31322128.440000001</v>
      </c>
      <c r="F312" t="s">
        <v>379</v>
      </c>
      <c r="G312" t="s">
        <v>447</v>
      </c>
      <c r="H312">
        <v>181009160103</v>
      </c>
      <c r="I312" t="str">
        <f>CashIntraTable[Portfolio]&amp;VALUE(CashIntraTable[Cash Date])&amp;CashIntraTable[Detail]</f>
        <v>SCBGPLUS433832.1. Redemption</v>
      </c>
    </row>
    <row r="313" spans="1:9" x14ac:dyDescent="0.2">
      <c r="A313" t="s">
        <v>487</v>
      </c>
      <c r="B313" t="s">
        <v>23</v>
      </c>
      <c r="C313" s="50">
        <v>43384</v>
      </c>
      <c r="D313" t="s">
        <v>446</v>
      </c>
      <c r="E313">
        <v>-23292781.789999999</v>
      </c>
      <c r="F313" t="s">
        <v>379</v>
      </c>
      <c r="G313" t="s">
        <v>447</v>
      </c>
      <c r="H313">
        <v>181009160103</v>
      </c>
      <c r="I313" t="str">
        <f>CashIntraTable[Portfolio]&amp;VALUE(CashIntraTable[Cash Date])&amp;CashIntraTable[Detail]</f>
        <v>SCBGPLUS433842.1. Redemption</v>
      </c>
    </row>
    <row r="314" spans="1:9" x14ac:dyDescent="0.2">
      <c r="A314" t="s">
        <v>487</v>
      </c>
      <c r="B314" t="s">
        <v>23</v>
      </c>
      <c r="C314" s="50">
        <v>43385</v>
      </c>
      <c r="D314" t="s">
        <v>446</v>
      </c>
      <c r="E314">
        <v>-14461153.83</v>
      </c>
      <c r="F314" t="s">
        <v>379</v>
      </c>
      <c r="G314" t="s">
        <v>447</v>
      </c>
      <c r="H314">
        <v>181009160103</v>
      </c>
      <c r="I314" t="str">
        <f>CashIntraTable[Portfolio]&amp;VALUE(CashIntraTable[Cash Date])&amp;CashIntraTable[Detail]</f>
        <v>SCBGPLUS433852.1. Redemption</v>
      </c>
    </row>
    <row r="315" spans="1:9" x14ac:dyDescent="0.2">
      <c r="A315" t="s">
        <v>487</v>
      </c>
      <c r="B315" t="s">
        <v>23</v>
      </c>
      <c r="C315" s="50">
        <v>43389</v>
      </c>
      <c r="D315" t="s">
        <v>446</v>
      </c>
      <c r="E315">
        <v>-27640644.449999999</v>
      </c>
      <c r="F315" t="s">
        <v>379</v>
      </c>
      <c r="G315" t="s">
        <v>447</v>
      </c>
      <c r="H315">
        <v>181009160103</v>
      </c>
      <c r="I315" t="str">
        <f>CashIntraTable[Portfolio]&amp;VALUE(CashIntraTable[Cash Date])&amp;CashIntraTable[Detail]</f>
        <v>SCBGPLUS433892.1. Redemption</v>
      </c>
    </row>
    <row r="316" spans="1:9" x14ac:dyDescent="0.2">
      <c r="A316" t="s">
        <v>487</v>
      </c>
      <c r="B316" t="s">
        <v>23</v>
      </c>
      <c r="C316" s="50">
        <v>43382</v>
      </c>
      <c r="D316" t="s">
        <v>446</v>
      </c>
      <c r="E316">
        <v>-8163108.7999999998</v>
      </c>
      <c r="F316" t="s">
        <v>380</v>
      </c>
      <c r="G316" t="s">
        <v>447</v>
      </c>
      <c r="H316">
        <v>181009160103</v>
      </c>
      <c r="I316" t="str">
        <f>CashIntraTable[Portfolio]&amp;VALUE(CashIntraTable[Cash Date])&amp;CashIntraTable[Detail]</f>
        <v>SCBGPLUS433822.2. Switch-out</v>
      </c>
    </row>
    <row r="317" spans="1:9" x14ac:dyDescent="0.2">
      <c r="A317" t="s">
        <v>487</v>
      </c>
      <c r="B317" t="s">
        <v>23</v>
      </c>
      <c r="C317" s="50">
        <v>43383</v>
      </c>
      <c r="D317" t="s">
        <v>446</v>
      </c>
      <c r="E317">
        <v>-1760031.9</v>
      </c>
      <c r="F317" t="s">
        <v>380</v>
      </c>
      <c r="G317" t="s">
        <v>447</v>
      </c>
      <c r="H317">
        <v>181009160103</v>
      </c>
      <c r="I317" t="str">
        <f>CashIntraTable[Portfolio]&amp;VALUE(CashIntraTable[Cash Date])&amp;CashIntraTable[Detail]</f>
        <v>SCBGPLUS433832.2. Switch-out</v>
      </c>
    </row>
    <row r="318" spans="1:9" x14ac:dyDescent="0.2">
      <c r="A318" t="s">
        <v>487</v>
      </c>
      <c r="B318" t="s">
        <v>23</v>
      </c>
      <c r="C318" s="50">
        <v>43384</v>
      </c>
      <c r="D318" t="s">
        <v>446</v>
      </c>
      <c r="E318">
        <v>-30244100.399999999</v>
      </c>
      <c r="F318" t="s">
        <v>380</v>
      </c>
      <c r="G318" t="s">
        <v>447</v>
      </c>
      <c r="H318">
        <v>181009160103</v>
      </c>
      <c r="I318" t="str">
        <f>CashIntraTable[Portfolio]&amp;VALUE(CashIntraTable[Cash Date])&amp;CashIntraTable[Detail]</f>
        <v>SCBGPLUS433842.2. Switch-out</v>
      </c>
    </row>
    <row r="319" spans="1:9" x14ac:dyDescent="0.2">
      <c r="A319" t="s">
        <v>487</v>
      </c>
      <c r="B319" t="s">
        <v>23</v>
      </c>
      <c r="C319" s="50">
        <v>43385</v>
      </c>
      <c r="D319" t="s">
        <v>446</v>
      </c>
      <c r="E319">
        <v>-8202539.0700000003</v>
      </c>
      <c r="F319" t="s">
        <v>380</v>
      </c>
      <c r="G319" t="s">
        <v>447</v>
      </c>
      <c r="H319">
        <v>181009160103</v>
      </c>
      <c r="I319" t="str">
        <f>CashIntraTable[Portfolio]&amp;VALUE(CashIntraTable[Cash Date])&amp;CashIntraTable[Detail]</f>
        <v>SCBGPLUS433852.2. Switch-out</v>
      </c>
    </row>
    <row r="320" spans="1:9" x14ac:dyDescent="0.2">
      <c r="A320" t="s">
        <v>487</v>
      </c>
      <c r="B320" t="s">
        <v>23</v>
      </c>
      <c r="C320" s="50">
        <v>43389</v>
      </c>
      <c r="D320" t="s">
        <v>446</v>
      </c>
      <c r="E320">
        <v>-15146685.58</v>
      </c>
      <c r="F320" t="s">
        <v>380</v>
      </c>
      <c r="G320" t="s">
        <v>447</v>
      </c>
      <c r="H320">
        <v>181009160103</v>
      </c>
      <c r="I320" t="str">
        <f>CashIntraTable[Portfolio]&amp;VALUE(CashIntraTable[Cash Date])&amp;CashIntraTable[Detail]</f>
        <v>SCBGPLUS433892.2. Switch-out</v>
      </c>
    </row>
    <row r="321" spans="1:9" x14ac:dyDescent="0.2">
      <c r="A321" t="s">
        <v>488</v>
      </c>
      <c r="B321" t="s">
        <v>23</v>
      </c>
      <c r="C321" s="50">
        <v>43383</v>
      </c>
      <c r="D321" t="s">
        <v>446</v>
      </c>
      <c r="E321">
        <v>1000</v>
      </c>
      <c r="F321" t="s">
        <v>377</v>
      </c>
      <c r="G321" t="s">
        <v>447</v>
      </c>
      <c r="H321">
        <v>181009160103</v>
      </c>
      <c r="I321" t="str">
        <f>CashIntraTable[Portfolio]&amp;VALUE(CashIntraTable[Cash Date])&amp;CashIntraTable[Detail]</f>
        <v>SCBGPROP433831.1. Subscription</v>
      </c>
    </row>
    <row r="322" spans="1:9" x14ac:dyDescent="0.2">
      <c r="A322" t="s">
        <v>488</v>
      </c>
      <c r="B322" t="s">
        <v>23</v>
      </c>
      <c r="C322" s="50">
        <v>43382</v>
      </c>
      <c r="D322" t="s">
        <v>446</v>
      </c>
      <c r="E322">
        <v>-19816.96</v>
      </c>
      <c r="F322" t="s">
        <v>379</v>
      </c>
      <c r="G322" t="s">
        <v>447</v>
      </c>
      <c r="H322">
        <v>181009160103</v>
      </c>
      <c r="I322" t="str">
        <f>CashIntraTable[Portfolio]&amp;VALUE(CashIntraTable[Cash Date])&amp;CashIntraTable[Detail]</f>
        <v>SCBGPROP433822.1. Redemption</v>
      </c>
    </row>
    <row r="323" spans="1:9" x14ac:dyDescent="0.2">
      <c r="A323" t="s">
        <v>488</v>
      </c>
      <c r="B323" t="s">
        <v>23</v>
      </c>
      <c r="C323" s="50">
        <v>43384</v>
      </c>
      <c r="D323" t="s">
        <v>446</v>
      </c>
      <c r="E323">
        <v>-9338.69</v>
      </c>
      <c r="F323" t="s">
        <v>379</v>
      </c>
      <c r="G323" t="s">
        <v>447</v>
      </c>
      <c r="H323">
        <v>181009160103</v>
      </c>
      <c r="I323" t="str">
        <f>CashIntraTable[Portfolio]&amp;VALUE(CashIntraTable[Cash Date])&amp;CashIntraTable[Detail]</f>
        <v>SCBGPROP433842.1. Redemption</v>
      </c>
    </row>
    <row r="324" spans="1:9" x14ac:dyDescent="0.2">
      <c r="A324" t="s">
        <v>489</v>
      </c>
      <c r="B324" t="s">
        <v>23</v>
      </c>
      <c r="C324" s="50">
        <v>43383</v>
      </c>
      <c r="D324" t="s">
        <v>446</v>
      </c>
      <c r="E324">
        <v>30500</v>
      </c>
      <c r="F324" t="s">
        <v>377</v>
      </c>
      <c r="G324" t="s">
        <v>447</v>
      </c>
      <c r="H324">
        <v>181009160103</v>
      </c>
      <c r="I324" t="str">
        <f>CashIntraTable[Portfolio]&amp;VALUE(CashIntraTable[Cash Date])&amp;CashIntraTable[Detail]</f>
        <v>SCBGSIFUND433831.1. Subscription</v>
      </c>
    </row>
    <row r="325" spans="1:9" x14ac:dyDescent="0.2">
      <c r="A325" t="s">
        <v>489</v>
      </c>
      <c r="B325" t="s">
        <v>23</v>
      </c>
      <c r="C325" s="50">
        <v>43383</v>
      </c>
      <c r="D325" t="s">
        <v>446</v>
      </c>
      <c r="E325">
        <v>950.74</v>
      </c>
      <c r="F325" t="s">
        <v>378</v>
      </c>
      <c r="G325" t="s">
        <v>447</v>
      </c>
      <c r="H325">
        <v>181009160103</v>
      </c>
      <c r="I325" t="str">
        <f>CashIntraTable[Portfolio]&amp;VALUE(CashIntraTable[Cash Date])&amp;CashIntraTable[Detail]</f>
        <v>SCBGSIFUND433831.2. Switch-in</v>
      </c>
    </row>
    <row r="326" spans="1:9" x14ac:dyDescent="0.2">
      <c r="A326" t="s">
        <v>489</v>
      </c>
      <c r="B326" t="s">
        <v>23</v>
      </c>
      <c r="C326" s="50">
        <v>43382</v>
      </c>
      <c r="D326" t="s">
        <v>446</v>
      </c>
      <c r="E326">
        <v>-2121.81</v>
      </c>
      <c r="F326" t="s">
        <v>379</v>
      </c>
      <c r="G326" t="s">
        <v>447</v>
      </c>
      <c r="H326">
        <v>181009160103</v>
      </c>
      <c r="I326" t="str">
        <f>CashIntraTable[Portfolio]&amp;VALUE(CashIntraTable[Cash Date])&amp;CashIntraTable[Detail]</f>
        <v>SCBGSIFUND433822.1. Redemption</v>
      </c>
    </row>
    <row r="327" spans="1:9" x14ac:dyDescent="0.2">
      <c r="A327" t="s">
        <v>489</v>
      </c>
      <c r="B327" t="s">
        <v>23</v>
      </c>
      <c r="C327" s="50">
        <v>43383</v>
      </c>
      <c r="D327" t="s">
        <v>446</v>
      </c>
      <c r="E327">
        <v>-4973587.96</v>
      </c>
      <c r="F327" t="s">
        <v>379</v>
      </c>
      <c r="G327" t="s">
        <v>447</v>
      </c>
      <c r="H327">
        <v>181009160103</v>
      </c>
      <c r="I327" t="str">
        <f>CashIntraTable[Portfolio]&amp;VALUE(CashIntraTable[Cash Date])&amp;CashIntraTable[Detail]</f>
        <v>SCBGSIFUND433832.1. Redemption</v>
      </c>
    </row>
    <row r="328" spans="1:9" x14ac:dyDescent="0.2">
      <c r="A328" t="s">
        <v>489</v>
      </c>
      <c r="B328" t="s">
        <v>23</v>
      </c>
      <c r="C328" s="50">
        <v>43384</v>
      </c>
      <c r="D328" t="s">
        <v>446</v>
      </c>
      <c r="E328">
        <v>-196709.72</v>
      </c>
      <c r="F328" t="s">
        <v>379</v>
      </c>
      <c r="G328" t="s">
        <v>447</v>
      </c>
      <c r="H328">
        <v>181009160103</v>
      </c>
      <c r="I328" t="str">
        <f>CashIntraTable[Portfolio]&amp;VALUE(CashIntraTable[Cash Date])&amp;CashIntraTable[Detail]</f>
        <v>SCBGSIFUND433842.1. Redemption</v>
      </c>
    </row>
    <row r="329" spans="1:9" x14ac:dyDescent="0.2">
      <c r="A329" t="s">
        <v>489</v>
      </c>
      <c r="B329" t="s">
        <v>23</v>
      </c>
      <c r="C329" s="50">
        <v>43385</v>
      </c>
      <c r="D329" t="s">
        <v>446</v>
      </c>
      <c r="E329">
        <v>-2984539.68</v>
      </c>
      <c r="F329" t="s">
        <v>379</v>
      </c>
      <c r="G329" t="s">
        <v>447</v>
      </c>
      <c r="H329">
        <v>181009160103</v>
      </c>
      <c r="I329" t="str">
        <f>CashIntraTable[Portfolio]&amp;VALUE(CashIntraTable[Cash Date])&amp;CashIntraTable[Detail]</f>
        <v>SCBGSIFUND433852.1. Redemption</v>
      </c>
    </row>
    <row r="330" spans="1:9" x14ac:dyDescent="0.2">
      <c r="A330" t="s">
        <v>489</v>
      </c>
      <c r="B330" t="s">
        <v>23</v>
      </c>
      <c r="C330" s="50">
        <v>43389</v>
      </c>
      <c r="D330" t="s">
        <v>446</v>
      </c>
      <c r="E330">
        <v>-107124.9</v>
      </c>
      <c r="F330" t="s">
        <v>379</v>
      </c>
      <c r="G330" t="s">
        <v>447</v>
      </c>
      <c r="H330">
        <v>181009160103</v>
      </c>
      <c r="I330" t="str">
        <f>CashIntraTable[Portfolio]&amp;VALUE(CashIntraTable[Cash Date])&amp;CashIntraTable[Detail]</f>
        <v>SCBGSIFUND433892.1. Redemption</v>
      </c>
    </row>
    <row r="331" spans="1:9" x14ac:dyDescent="0.2">
      <c r="A331" t="s">
        <v>489</v>
      </c>
      <c r="B331" t="s">
        <v>23</v>
      </c>
      <c r="C331" s="50">
        <v>43382</v>
      </c>
      <c r="D331" t="s">
        <v>446</v>
      </c>
      <c r="E331">
        <v>-3011294.32</v>
      </c>
      <c r="F331" t="s">
        <v>380</v>
      </c>
      <c r="G331" t="s">
        <v>447</v>
      </c>
      <c r="H331">
        <v>181009160103</v>
      </c>
      <c r="I331" t="str">
        <f>CashIntraTable[Portfolio]&amp;VALUE(CashIntraTable[Cash Date])&amp;CashIntraTable[Detail]</f>
        <v>SCBGSIFUND433822.2. Switch-out</v>
      </c>
    </row>
    <row r="332" spans="1:9" x14ac:dyDescent="0.2">
      <c r="A332" t="s">
        <v>489</v>
      </c>
      <c r="B332" t="s">
        <v>23</v>
      </c>
      <c r="C332" s="50">
        <v>43384</v>
      </c>
      <c r="D332" t="s">
        <v>446</v>
      </c>
      <c r="E332">
        <v>-20390.12</v>
      </c>
      <c r="F332" t="s">
        <v>380</v>
      </c>
      <c r="G332" t="s">
        <v>447</v>
      </c>
      <c r="H332">
        <v>181009160103</v>
      </c>
      <c r="I332" t="str">
        <f>CashIntraTable[Portfolio]&amp;VALUE(CashIntraTable[Cash Date])&amp;CashIntraTable[Detail]</f>
        <v>SCBGSIFUND433842.2. Switch-out</v>
      </c>
    </row>
    <row r="333" spans="1:9" x14ac:dyDescent="0.2">
      <c r="A333" t="s">
        <v>489</v>
      </c>
      <c r="B333" t="s">
        <v>23</v>
      </c>
      <c r="C333" s="50">
        <v>43385</v>
      </c>
      <c r="D333" t="s">
        <v>446</v>
      </c>
      <c r="E333">
        <v>-998885.67</v>
      </c>
      <c r="F333" t="s">
        <v>380</v>
      </c>
      <c r="G333" t="s">
        <v>447</v>
      </c>
      <c r="H333">
        <v>181009160103</v>
      </c>
      <c r="I333" t="str">
        <f>CashIntraTable[Portfolio]&amp;VALUE(CashIntraTable[Cash Date])&amp;CashIntraTable[Detail]</f>
        <v>SCBGSIFUND433852.2. Switch-out</v>
      </c>
    </row>
    <row r="334" spans="1:9" x14ac:dyDescent="0.2">
      <c r="A334" t="s">
        <v>489</v>
      </c>
      <c r="B334" t="s">
        <v>23</v>
      </c>
      <c r="C334" s="50">
        <v>43389</v>
      </c>
      <c r="D334" t="s">
        <v>446</v>
      </c>
      <c r="E334">
        <v>-11257872.720000001</v>
      </c>
      <c r="F334" t="s">
        <v>380</v>
      </c>
      <c r="G334" t="s">
        <v>447</v>
      </c>
      <c r="H334">
        <v>181009160103</v>
      </c>
      <c r="I334" t="str">
        <f>CashIntraTable[Portfolio]&amp;VALUE(CashIntraTable[Cash Date])&amp;CashIntraTable[Detail]</f>
        <v>SCBGSIFUND433892.2. Switch-out</v>
      </c>
    </row>
    <row r="335" spans="1:9" x14ac:dyDescent="0.2">
      <c r="A335" t="s">
        <v>490</v>
      </c>
      <c r="B335" t="s">
        <v>23</v>
      </c>
      <c r="C335" s="50">
        <v>43383</v>
      </c>
      <c r="D335" t="s">
        <v>446</v>
      </c>
      <c r="E335">
        <v>-3451849.29</v>
      </c>
      <c r="F335" t="s">
        <v>379</v>
      </c>
      <c r="G335" t="s">
        <v>447</v>
      </c>
      <c r="H335">
        <v>181009160103</v>
      </c>
      <c r="I335" t="str">
        <f>CashIntraTable[Portfolio]&amp;VALUE(CashIntraTable[Cash Date])&amp;CashIntraTable[Detail]</f>
        <v>SCBINC433832.1. Redemption</v>
      </c>
    </row>
    <row r="336" spans="1:9" x14ac:dyDescent="0.2">
      <c r="A336" t="s">
        <v>490</v>
      </c>
      <c r="B336" t="s">
        <v>23</v>
      </c>
      <c r="C336" s="50">
        <v>43384</v>
      </c>
      <c r="D336" t="s">
        <v>446</v>
      </c>
      <c r="E336">
        <v>-2000000</v>
      </c>
      <c r="F336" t="s">
        <v>379</v>
      </c>
      <c r="G336" t="s">
        <v>447</v>
      </c>
      <c r="H336">
        <v>181009160103</v>
      </c>
      <c r="I336" t="str">
        <f>CashIntraTable[Portfolio]&amp;VALUE(CashIntraTable[Cash Date])&amp;CashIntraTable[Detail]</f>
        <v>SCBINC433842.1. Redemption</v>
      </c>
    </row>
    <row r="337" spans="1:9" x14ac:dyDescent="0.2">
      <c r="A337" t="s">
        <v>490</v>
      </c>
      <c r="B337" t="s">
        <v>23</v>
      </c>
      <c r="C337" s="50">
        <v>43385</v>
      </c>
      <c r="D337" t="s">
        <v>446</v>
      </c>
      <c r="E337">
        <v>-288455.25</v>
      </c>
      <c r="F337" t="s">
        <v>379</v>
      </c>
      <c r="G337" t="s">
        <v>447</v>
      </c>
      <c r="H337">
        <v>181009160103</v>
      </c>
      <c r="I337" t="str">
        <f>CashIntraTable[Portfolio]&amp;VALUE(CashIntraTable[Cash Date])&amp;CashIntraTable[Detail]</f>
        <v>SCBINC433852.1. Redemption</v>
      </c>
    </row>
    <row r="338" spans="1:9" x14ac:dyDescent="0.2">
      <c r="A338" t="s">
        <v>490</v>
      </c>
      <c r="B338" t="s">
        <v>23</v>
      </c>
      <c r="C338" s="50">
        <v>43383</v>
      </c>
      <c r="D338" t="s">
        <v>446</v>
      </c>
      <c r="E338">
        <v>-4163638.38</v>
      </c>
      <c r="F338" t="s">
        <v>380</v>
      </c>
      <c r="G338" t="s">
        <v>447</v>
      </c>
      <c r="H338">
        <v>181009160103</v>
      </c>
      <c r="I338" t="str">
        <f>CashIntraTable[Portfolio]&amp;VALUE(CashIntraTable[Cash Date])&amp;CashIntraTable[Detail]</f>
        <v>SCBINC433832.2. Switch-out</v>
      </c>
    </row>
    <row r="339" spans="1:9" x14ac:dyDescent="0.2">
      <c r="A339" t="s">
        <v>490</v>
      </c>
      <c r="B339" t="s">
        <v>23</v>
      </c>
      <c r="C339" s="50">
        <v>43385</v>
      </c>
      <c r="D339" t="s">
        <v>446</v>
      </c>
      <c r="E339">
        <v>-3830208.66</v>
      </c>
      <c r="F339" t="s">
        <v>380</v>
      </c>
      <c r="G339" t="s">
        <v>447</v>
      </c>
      <c r="H339">
        <v>181009160103</v>
      </c>
      <c r="I339" t="str">
        <f>CashIntraTable[Portfolio]&amp;VALUE(CashIntraTable[Cash Date])&amp;CashIntraTable[Detail]</f>
        <v>SCBINC433852.2. Switch-out</v>
      </c>
    </row>
    <row r="340" spans="1:9" x14ac:dyDescent="0.2">
      <c r="A340" t="s">
        <v>491</v>
      </c>
      <c r="B340" t="s">
        <v>23</v>
      </c>
      <c r="C340" s="50">
        <v>43383</v>
      </c>
      <c r="D340" t="s">
        <v>446</v>
      </c>
      <c r="E340">
        <v>302100</v>
      </c>
      <c r="F340" t="s">
        <v>377</v>
      </c>
      <c r="G340" t="s">
        <v>447</v>
      </c>
      <c r="H340">
        <v>181009160103</v>
      </c>
      <c r="I340" t="str">
        <f>CashIntraTable[Portfolio]&amp;VALUE(CashIntraTable[Cash Date])&amp;CashIntraTable[Detail]</f>
        <v>SCBINDIA433831.1. Subscription</v>
      </c>
    </row>
    <row r="341" spans="1:9" x14ac:dyDescent="0.2">
      <c r="A341" t="s">
        <v>491</v>
      </c>
      <c r="B341" t="s">
        <v>23</v>
      </c>
      <c r="C341" s="50">
        <v>43382</v>
      </c>
      <c r="D341" t="s">
        <v>446</v>
      </c>
      <c r="E341">
        <v>1250000</v>
      </c>
      <c r="F341" t="s">
        <v>378</v>
      </c>
      <c r="G341" t="s">
        <v>447</v>
      </c>
      <c r="H341">
        <v>181009160103</v>
      </c>
      <c r="I341" t="str">
        <f>CashIntraTable[Portfolio]&amp;VALUE(CashIntraTable[Cash Date])&amp;CashIntraTable[Detail]</f>
        <v>SCBINDIA433821.2. Switch-in</v>
      </c>
    </row>
    <row r="342" spans="1:9" x14ac:dyDescent="0.2">
      <c r="A342" t="s">
        <v>491</v>
      </c>
      <c r="B342" t="s">
        <v>23</v>
      </c>
      <c r="C342" s="50">
        <v>43383</v>
      </c>
      <c r="D342" t="s">
        <v>446</v>
      </c>
      <c r="E342">
        <v>2746331.09</v>
      </c>
      <c r="F342" t="s">
        <v>378</v>
      </c>
      <c r="G342" t="s">
        <v>447</v>
      </c>
      <c r="H342">
        <v>181009160103</v>
      </c>
      <c r="I342" t="str">
        <f>CashIntraTable[Portfolio]&amp;VALUE(CashIntraTable[Cash Date])&amp;CashIntraTable[Detail]</f>
        <v>SCBINDIA433831.2. Switch-in</v>
      </c>
    </row>
    <row r="343" spans="1:9" x14ac:dyDescent="0.2">
      <c r="A343" t="s">
        <v>491</v>
      </c>
      <c r="B343" t="s">
        <v>23</v>
      </c>
      <c r="C343" s="50">
        <v>43389</v>
      </c>
      <c r="D343" t="s">
        <v>446</v>
      </c>
      <c r="E343">
        <v>119435.74</v>
      </c>
      <c r="F343" t="s">
        <v>378</v>
      </c>
      <c r="G343" t="s">
        <v>447</v>
      </c>
      <c r="H343">
        <v>181009160103</v>
      </c>
      <c r="I343" t="str">
        <f>CashIntraTable[Portfolio]&amp;VALUE(CashIntraTable[Cash Date])&amp;CashIntraTable[Detail]</f>
        <v>SCBINDIA433891.2. Switch-in</v>
      </c>
    </row>
    <row r="344" spans="1:9" x14ac:dyDescent="0.2">
      <c r="A344" t="s">
        <v>491</v>
      </c>
      <c r="B344" t="s">
        <v>23</v>
      </c>
      <c r="C344" s="50">
        <v>43383</v>
      </c>
      <c r="D344" t="s">
        <v>446</v>
      </c>
      <c r="E344">
        <v>-92803.79</v>
      </c>
      <c r="F344" t="s">
        <v>379</v>
      </c>
      <c r="G344" t="s">
        <v>447</v>
      </c>
      <c r="H344">
        <v>181009160103</v>
      </c>
      <c r="I344" t="str">
        <f>CashIntraTable[Portfolio]&amp;VALUE(CashIntraTable[Cash Date])&amp;CashIntraTable[Detail]</f>
        <v>SCBINDIA433832.1. Redemption</v>
      </c>
    </row>
    <row r="345" spans="1:9" x14ac:dyDescent="0.2">
      <c r="A345" t="s">
        <v>491</v>
      </c>
      <c r="B345" t="s">
        <v>23</v>
      </c>
      <c r="C345" s="50">
        <v>43384</v>
      </c>
      <c r="D345" t="s">
        <v>446</v>
      </c>
      <c r="E345">
        <v>-1680604.15</v>
      </c>
      <c r="F345" t="s">
        <v>379</v>
      </c>
      <c r="G345" t="s">
        <v>447</v>
      </c>
      <c r="H345">
        <v>181009160103</v>
      </c>
      <c r="I345" t="str">
        <f>CashIntraTable[Portfolio]&amp;VALUE(CashIntraTable[Cash Date])&amp;CashIntraTable[Detail]</f>
        <v>SCBINDIA433842.1. Redemption</v>
      </c>
    </row>
    <row r="346" spans="1:9" x14ac:dyDescent="0.2">
      <c r="A346" t="s">
        <v>491</v>
      </c>
      <c r="B346" t="s">
        <v>23</v>
      </c>
      <c r="C346" s="50">
        <v>43385</v>
      </c>
      <c r="D346" t="s">
        <v>446</v>
      </c>
      <c r="E346">
        <v>-26919.07</v>
      </c>
      <c r="F346" t="s">
        <v>379</v>
      </c>
      <c r="G346" t="s">
        <v>447</v>
      </c>
      <c r="H346">
        <v>181009160103</v>
      </c>
      <c r="I346" t="str">
        <f>CashIntraTable[Portfolio]&amp;VALUE(CashIntraTable[Cash Date])&amp;CashIntraTable[Detail]</f>
        <v>SCBINDIA433852.1. Redemption</v>
      </c>
    </row>
    <row r="347" spans="1:9" x14ac:dyDescent="0.2">
      <c r="A347" t="s">
        <v>491</v>
      </c>
      <c r="B347" t="s">
        <v>23</v>
      </c>
      <c r="C347" s="50">
        <v>43384</v>
      </c>
      <c r="D347" t="s">
        <v>446</v>
      </c>
      <c r="E347">
        <v>-24240.92</v>
      </c>
      <c r="F347" t="s">
        <v>380</v>
      </c>
      <c r="G347" t="s">
        <v>447</v>
      </c>
      <c r="H347">
        <v>181009160103</v>
      </c>
      <c r="I347" t="str">
        <f>CashIntraTable[Portfolio]&amp;VALUE(CashIntraTable[Cash Date])&amp;CashIntraTable[Detail]</f>
        <v>SCBINDIA433842.2. Switch-out</v>
      </c>
    </row>
    <row r="348" spans="1:9" x14ac:dyDescent="0.2">
      <c r="A348" t="s">
        <v>491</v>
      </c>
      <c r="B348" t="s">
        <v>23</v>
      </c>
      <c r="C348" s="50">
        <v>43385</v>
      </c>
      <c r="D348" t="s">
        <v>446</v>
      </c>
      <c r="E348">
        <v>-779873.14</v>
      </c>
      <c r="F348" t="s">
        <v>380</v>
      </c>
      <c r="G348" t="s">
        <v>447</v>
      </c>
      <c r="H348">
        <v>181009160103</v>
      </c>
      <c r="I348" t="str">
        <f>CashIntraTable[Portfolio]&amp;VALUE(CashIntraTable[Cash Date])&amp;CashIntraTable[Detail]</f>
        <v>SCBINDIA433852.2. Switch-out</v>
      </c>
    </row>
    <row r="349" spans="1:9" x14ac:dyDescent="0.2">
      <c r="A349" t="s">
        <v>492</v>
      </c>
      <c r="B349" t="s">
        <v>23</v>
      </c>
      <c r="C349" s="50">
        <v>43383</v>
      </c>
      <c r="D349" t="s">
        <v>446</v>
      </c>
      <c r="E349">
        <v>15000</v>
      </c>
      <c r="F349" t="s">
        <v>377</v>
      </c>
      <c r="G349" t="s">
        <v>447</v>
      </c>
      <c r="H349">
        <v>181009160103</v>
      </c>
      <c r="I349" t="str">
        <f>CashIntraTable[Portfolio]&amp;VALUE(CashIntraTable[Cash Date])&amp;CashIntraTable[Detail]</f>
        <v>SCBJPSM433831.1. Subscription</v>
      </c>
    </row>
    <row r="350" spans="1:9" x14ac:dyDescent="0.2">
      <c r="A350" t="s">
        <v>492</v>
      </c>
      <c r="B350" t="s">
        <v>23</v>
      </c>
      <c r="C350" s="50">
        <v>43383</v>
      </c>
      <c r="D350" t="s">
        <v>446</v>
      </c>
      <c r="E350">
        <v>100000</v>
      </c>
      <c r="F350" t="s">
        <v>378</v>
      </c>
      <c r="G350" t="s">
        <v>447</v>
      </c>
      <c r="H350">
        <v>181009160103</v>
      </c>
      <c r="I350" t="str">
        <f>CashIntraTable[Portfolio]&amp;VALUE(CashIntraTable[Cash Date])&amp;CashIntraTable[Detail]</f>
        <v>SCBJPSM433831.2. Switch-in</v>
      </c>
    </row>
    <row r="351" spans="1:9" x14ac:dyDescent="0.2">
      <c r="A351" t="s">
        <v>492</v>
      </c>
      <c r="B351" t="s">
        <v>23</v>
      </c>
      <c r="C351" s="50">
        <v>43384</v>
      </c>
      <c r="D351" t="s">
        <v>446</v>
      </c>
      <c r="E351">
        <v>1000000</v>
      </c>
      <c r="F351" t="s">
        <v>378</v>
      </c>
      <c r="G351" t="s">
        <v>447</v>
      </c>
      <c r="H351">
        <v>181009160103</v>
      </c>
      <c r="I351" t="str">
        <f>CashIntraTable[Portfolio]&amp;VALUE(CashIntraTable[Cash Date])&amp;CashIntraTable[Detail]</f>
        <v>SCBJPSM433841.2. Switch-in</v>
      </c>
    </row>
    <row r="352" spans="1:9" x14ac:dyDescent="0.2">
      <c r="A352" t="s">
        <v>492</v>
      </c>
      <c r="B352" t="s">
        <v>23</v>
      </c>
      <c r="C352" s="50">
        <v>43382</v>
      </c>
      <c r="D352" t="s">
        <v>446</v>
      </c>
      <c r="E352">
        <v>-3171340.93</v>
      </c>
      <c r="F352" t="s">
        <v>379</v>
      </c>
      <c r="G352" t="s">
        <v>447</v>
      </c>
      <c r="H352">
        <v>181009160103</v>
      </c>
      <c r="I352" t="str">
        <f>CashIntraTable[Portfolio]&amp;VALUE(CashIntraTable[Cash Date])&amp;CashIntraTable[Detail]</f>
        <v>SCBJPSM433822.1. Redemption</v>
      </c>
    </row>
    <row r="353" spans="1:9" x14ac:dyDescent="0.2">
      <c r="A353" t="s">
        <v>492</v>
      </c>
      <c r="B353" t="s">
        <v>23</v>
      </c>
      <c r="C353" s="50">
        <v>43383</v>
      </c>
      <c r="D353" t="s">
        <v>446</v>
      </c>
      <c r="E353">
        <v>-3037194.9</v>
      </c>
      <c r="F353" t="s">
        <v>379</v>
      </c>
      <c r="G353" t="s">
        <v>447</v>
      </c>
      <c r="H353">
        <v>181009160103</v>
      </c>
      <c r="I353" t="str">
        <f>CashIntraTable[Portfolio]&amp;VALUE(CashIntraTable[Cash Date])&amp;CashIntraTable[Detail]</f>
        <v>SCBJPSM433832.1. Redemption</v>
      </c>
    </row>
    <row r="354" spans="1:9" x14ac:dyDescent="0.2">
      <c r="A354" t="s">
        <v>492</v>
      </c>
      <c r="B354" t="s">
        <v>23</v>
      </c>
      <c r="C354" s="50">
        <v>43384</v>
      </c>
      <c r="D354" t="s">
        <v>446</v>
      </c>
      <c r="E354">
        <v>-178518.51</v>
      </c>
      <c r="F354" t="s">
        <v>379</v>
      </c>
      <c r="G354" t="s">
        <v>447</v>
      </c>
      <c r="H354">
        <v>181009160103</v>
      </c>
      <c r="I354" t="str">
        <f>CashIntraTable[Portfolio]&amp;VALUE(CashIntraTable[Cash Date])&amp;CashIntraTable[Detail]</f>
        <v>SCBJPSM433842.1. Redemption</v>
      </c>
    </row>
    <row r="355" spans="1:9" x14ac:dyDescent="0.2">
      <c r="A355" t="s">
        <v>492</v>
      </c>
      <c r="B355" t="s">
        <v>23</v>
      </c>
      <c r="C355" s="50">
        <v>43389</v>
      </c>
      <c r="D355" t="s">
        <v>446</v>
      </c>
      <c r="E355">
        <v>-500978.06</v>
      </c>
      <c r="F355" t="s">
        <v>379</v>
      </c>
      <c r="G355" t="s">
        <v>447</v>
      </c>
      <c r="H355">
        <v>181009160103</v>
      </c>
      <c r="I355" t="str">
        <f>CashIntraTable[Portfolio]&amp;VALUE(CashIntraTable[Cash Date])&amp;CashIntraTable[Detail]</f>
        <v>SCBJPSM433892.1. Redemption</v>
      </c>
    </row>
    <row r="356" spans="1:9" x14ac:dyDescent="0.2">
      <c r="A356" t="s">
        <v>492</v>
      </c>
      <c r="B356" t="s">
        <v>23</v>
      </c>
      <c r="C356" s="50">
        <v>43390</v>
      </c>
      <c r="D356" t="s">
        <v>446</v>
      </c>
      <c r="E356">
        <v>-6725.68</v>
      </c>
      <c r="F356" t="s">
        <v>379</v>
      </c>
      <c r="G356" t="s">
        <v>447</v>
      </c>
      <c r="H356">
        <v>181009160103</v>
      </c>
      <c r="I356" t="str">
        <f>CashIntraTable[Portfolio]&amp;VALUE(CashIntraTable[Cash Date])&amp;CashIntraTable[Detail]</f>
        <v>SCBJPSM433902.1. Redemption</v>
      </c>
    </row>
    <row r="357" spans="1:9" x14ac:dyDescent="0.2">
      <c r="A357" t="s">
        <v>492</v>
      </c>
      <c r="B357" t="s">
        <v>23</v>
      </c>
      <c r="C357" s="50">
        <v>43391</v>
      </c>
      <c r="D357" t="s">
        <v>446</v>
      </c>
      <c r="E357">
        <v>-15475.19</v>
      </c>
      <c r="F357" t="s">
        <v>379</v>
      </c>
      <c r="G357" t="s">
        <v>447</v>
      </c>
      <c r="H357">
        <v>181009160103</v>
      </c>
      <c r="I357" t="str">
        <f>CashIntraTable[Portfolio]&amp;VALUE(CashIntraTable[Cash Date])&amp;CashIntraTable[Detail]</f>
        <v>SCBJPSM433912.1. Redemption</v>
      </c>
    </row>
    <row r="358" spans="1:9" x14ac:dyDescent="0.2">
      <c r="A358" t="s">
        <v>492</v>
      </c>
      <c r="B358" t="s">
        <v>23</v>
      </c>
      <c r="C358" s="50">
        <v>43382</v>
      </c>
      <c r="D358" t="s">
        <v>446</v>
      </c>
      <c r="E358">
        <v>-5533031.7000000002</v>
      </c>
      <c r="F358" t="s">
        <v>380</v>
      </c>
      <c r="G358" t="s">
        <v>447</v>
      </c>
      <c r="H358">
        <v>181009160103</v>
      </c>
      <c r="I358" t="str">
        <f>CashIntraTable[Portfolio]&amp;VALUE(CashIntraTable[Cash Date])&amp;CashIntraTable[Detail]</f>
        <v>SCBJPSM433822.2. Switch-out</v>
      </c>
    </row>
    <row r="359" spans="1:9" x14ac:dyDescent="0.2">
      <c r="A359" t="s">
        <v>492</v>
      </c>
      <c r="B359" t="s">
        <v>23</v>
      </c>
      <c r="C359" s="50">
        <v>43383</v>
      </c>
      <c r="D359" t="s">
        <v>446</v>
      </c>
      <c r="E359">
        <v>-426071.67</v>
      </c>
      <c r="F359" t="s">
        <v>380</v>
      </c>
      <c r="G359" t="s">
        <v>447</v>
      </c>
      <c r="H359">
        <v>181009160103</v>
      </c>
      <c r="I359" t="str">
        <f>CashIntraTable[Portfolio]&amp;VALUE(CashIntraTable[Cash Date])&amp;CashIntraTable[Detail]</f>
        <v>SCBJPSM433832.2. Switch-out</v>
      </c>
    </row>
    <row r="360" spans="1:9" x14ac:dyDescent="0.2">
      <c r="A360" t="s">
        <v>492</v>
      </c>
      <c r="B360" t="s">
        <v>23</v>
      </c>
      <c r="C360" s="50">
        <v>43384</v>
      </c>
      <c r="D360" t="s">
        <v>446</v>
      </c>
      <c r="E360">
        <v>-1277828.77</v>
      </c>
      <c r="F360" t="s">
        <v>380</v>
      </c>
      <c r="G360" t="s">
        <v>447</v>
      </c>
      <c r="H360">
        <v>181009160103</v>
      </c>
      <c r="I360" t="str">
        <f>CashIntraTable[Portfolio]&amp;VALUE(CashIntraTable[Cash Date])&amp;CashIntraTable[Detail]</f>
        <v>SCBJPSM433842.2. Switch-out</v>
      </c>
    </row>
    <row r="361" spans="1:9" x14ac:dyDescent="0.2">
      <c r="A361" t="s">
        <v>492</v>
      </c>
      <c r="B361" t="s">
        <v>23</v>
      </c>
      <c r="C361" s="50">
        <v>43385</v>
      </c>
      <c r="D361" t="s">
        <v>446</v>
      </c>
      <c r="E361">
        <v>-962.61</v>
      </c>
      <c r="F361" t="s">
        <v>380</v>
      </c>
      <c r="G361" t="s">
        <v>447</v>
      </c>
      <c r="H361">
        <v>181009160103</v>
      </c>
      <c r="I361" t="str">
        <f>CashIntraTable[Portfolio]&amp;VALUE(CashIntraTable[Cash Date])&amp;CashIntraTable[Detail]</f>
        <v>SCBJPSM433852.2. Switch-out</v>
      </c>
    </row>
    <row r="362" spans="1:9" x14ac:dyDescent="0.2">
      <c r="A362" t="s">
        <v>492</v>
      </c>
      <c r="B362" t="s">
        <v>23</v>
      </c>
      <c r="C362" s="50">
        <v>43389</v>
      </c>
      <c r="D362" t="s">
        <v>446</v>
      </c>
      <c r="E362">
        <v>-2262.9899999999998</v>
      </c>
      <c r="F362" t="s">
        <v>380</v>
      </c>
      <c r="G362" t="s">
        <v>447</v>
      </c>
      <c r="H362">
        <v>181009160103</v>
      </c>
      <c r="I362" t="str">
        <f>CashIntraTable[Portfolio]&amp;VALUE(CashIntraTable[Cash Date])&amp;CashIntraTable[Detail]</f>
        <v>SCBJPSM433892.2. Switch-out</v>
      </c>
    </row>
    <row r="363" spans="1:9" x14ac:dyDescent="0.2">
      <c r="A363" t="s">
        <v>492</v>
      </c>
      <c r="B363" t="s">
        <v>23</v>
      </c>
      <c r="C363" s="50">
        <v>43391</v>
      </c>
      <c r="D363" t="s">
        <v>446</v>
      </c>
      <c r="E363">
        <v>-205177.52</v>
      </c>
      <c r="F363" t="s">
        <v>380</v>
      </c>
      <c r="G363" t="s">
        <v>447</v>
      </c>
      <c r="H363">
        <v>181009160103</v>
      </c>
      <c r="I363" t="str">
        <f>CashIntraTable[Portfolio]&amp;VALUE(CashIntraTable[Cash Date])&amp;CashIntraTable[Detail]</f>
        <v>SCBJPSM433912.2. Switch-out</v>
      </c>
    </row>
    <row r="364" spans="1:9" x14ac:dyDescent="0.2">
      <c r="A364" t="s">
        <v>493</v>
      </c>
      <c r="B364" t="s">
        <v>23</v>
      </c>
      <c r="C364" s="50">
        <v>43383</v>
      </c>
      <c r="D364" t="s">
        <v>446</v>
      </c>
      <c r="E364">
        <v>1899236.29</v>
      </c>
      <c r="F364" t="s">
        <v>377</v>
      </c>
      <c r="G364" t="s">
        <v>447</v>
      </c>
      <c r="H364">
        <v>181009160103</v>
      </c>
      <c r="I364" t="str">
        <f>CashIntraTable[Portfolio]&amp;VALUE(CashIntraTable[Cash Date])&amp;CashIntraTable[Detail]</f>
        <v>SCBKEQTG433831.1. Subscription</v>
      </c>
    </row>
    <row r="365" spans="1:9" x14ac:dyDescent="0.2">
      <c r="A365" t="s">
        <v>493</v>
      </c>
      <c r="B365" t="s">
        <v>23</v>
      </c>
      <c r="C365" s="50">
        <v>43383</v>
      </c>
      <c r="D365" t="s">
        <v>446</v>
      </c>
      <c r="E365">
        <v>700000</v>
      </c>
      <c r="F365" t="s">
        <v>378</v>
      </c>
      <c r="G365" t="s">
        <v>447</v>
      </c>
      <c r="H365">
        <v>181009160103</v>
      </c>
      <c r="I365" t="str">
        <f>CashIntraTable[Portfolio]&amp;VALUE(CashIntraTable[Cash Date])&amp;CashIntraTable[Detail]</f>
        <v>SCBKEQTG433831.2. Switch-in</v>
      </c>
    </row>
    <row r="366" spans="1:9" x14ac:dyDescent="0.2">
      <c r="A366" t="s">
        <v>493</v>
      </c>
      <c r="B366" t="s">
        <v>23</v>
      </c>
      <c r="C366" s="50">
        <v>43385</v>
      </c>
      <c r="D366" t="s">
        <v>446</v>
      </c>
      <c r="E366">
        <v>962.61</v>
      </c>
      <c r="F366" t="s">
        <v>378</v>
      </c>
      <c r="G366" t="s">
        <v>447</v>
      </c>
      <c r="H366">
        <v>181009160103</v>
      </c>
      <c r="I366" t="str">
        <f>CashIntraTable[Portfolio]&amp;VALUE(CashIntraTable[Cash Date])&amp;CashIntraTable[Detail]</f>
        <v>SCBKEQTG433851.2. Switch-in</v>
      </c>
    </row>
    <row r="367" spans="1:9" x14ac:dyDescent="0.2">
      <c r="A367" t="s">
        <v>493</v>
      </c>
      <c r="B367" t="s">
        <v>23</v>
      </c>
      <c r="C367" s="50">
        <v>43382</v>
      </c>
      <c r="D367" t="s">
        <v>446</v>
      </c>
      <c r="E367">
        <v>-8326381.4100000001</v>
      </c>
      <c r="F367" t="s">
        <v>379</v>
      </c>
      <c r="G367" t="s">
        <v>447</v>
      </c>
      <c r="H367">
        <v>181009160103</v>
      </c>
      <c r="I367" t="str">
        <f>CashIntraTable[Portfolio]&amp;VALUE(CashIntraTable[Cash Date])&amp;CashIntraTable[Detail]</f>
        <v>SCBKEQTG433822.1. Redemption</v>
      </c>
    </row>
    <row r="368" spans="1:9" x14ac:dyDescent="0.2">
      <c r="A368" t="s">
        <v>493</v>
      </c>
      <c r="B368" t="s">
        <v>23</v>
      </c>
      <c r="C368" s="50">
        <v>43383</v>
      </c>
      <c r="D368" t="s">
        <v>446</v>
      </c>
      <c r="E368">
        <v>-1166869.02</v>
      </c>
      <c r="F368" t="s">
        <v>379</v>
      </c>
      <c r="G368" t="s">
        <v>447</v>
      </c>
      <c r="H368">
        <v>181009160103</v>
      </c>
      <c r="I368" t="str">
        <f>CashIntraTable[Portfolio]&amp;VALUE(CashIntraTable[Cash Date])&amp;CashIntraTable[Detail]</f>
        <v>SCBKEQTG433832.1. Redemption</v>
      </c>
    </row>
    <row r="369" spans="1:9" x14ac:dyDescent="0.2">
      <c r="A369" t="s">
        <v>493</v>
      </c>
      <c r="B369" t="s">
        <v>23</v>
      </c>
      <c r="C369" s="50">
        <v>43384</v>
      </c>
      <c r="D369" t="s">
        <v>446</v>
      </c>
      <c r="E369">
        <v>-323014.78999999998</v>
      </c>
      <c r="F369" t="s">
        <v>379</v>
      </c>
      <c r="G369" t="s">
        <v>447</v>
      </c>
      <c r="H369">
        <v>181009160103</v>
      </c>
      <c r="I369" t="str">
        <f>CashIntraTable[Portfolio]&amp;VALUE(CashIntraTable[Cash Date])&amp;CashIntraTable[Detail]</f>
        <v>SCBKEQTG433842.1. Redemption</v>
      </c>
    </row>
    <row r="370" spans="1:9" x14ac:dyDescent="0.2">
      <c r="A370" t="s">
        <v>493</v>
      </c>
      <c r="B370" t="s">
        <v>23</v>
      </c>
      <c r="C370" s="50">
        <v>43385</v>
      </c>
      <c r="D370" t="s">
        <v>446</v>
      </c>
      <c r="E370">
        <v>-294242.18</v>
      </c>
      <c r="F370" t="s">
        <v>379</v>
      </c>
      <c r="G370" t="s">
        <v>447</v>
      </c>
      <c r="H370">
        <v>181009160103</v>
      </c>
      <c r="I370" t="str">
        <f>CashIntraTable[Portfolio]&amp;VALUE(CashIntraTable[Cash Date])&amp;CashIntraTable[Detail]</f>
        <v>SCBKEQTG433852.1. Redemption</v>
      </c>
    </row>
    <row r="371" spans="1:9" x14ac:dyDescent="0.2">
      <c r="A371" t="s">
        <v>493</v>
      </c>
      <c r="B371" t="s">
        <v>23</v>
      </c>
      <c r="C371" s="50">
        <v>43382</v>
      </c>
      <c r="D371" t="s">
        <v>446</v>
      </c>
      <c r="E371">
        <v>-16935.12</v>
      </c>
      <c r="F371" t="s">
        <v>380</v>
      </c>
      <c r="G371" t="s">
        <v>447</v>
      </c>
      <c r="H371">
        <v>181009160103</v>
      </c>
      <c r="I371" t="str">
        <f>CashIntraTable[Portfolio]&amp;VALUE(CashIntraTable[Cash Date])&amp;CashIntraTable[Detail]</f>
        <v>SCBKEQTG433822.2. Switch-out</v>
      </c>
    </row>
    <row r="372" spans="1:9" x14ac:dyDescent="0.2">
      <c r="A372" t="s">
        <v>493</v>
      </c>
      <c r="B372" t="s">
        <v>23</v>
      </c>
      <c r="C372" s="50">
        <v>43383</v>
      </c>
      <c r="D372" t="s">
        <v>446</v>
      </c>
      <c r="E372">
        <v>-2221354.2400000002</v>
      </c>
      <c r="F372" t="s">
        <v>380</v>
      </c>
      <c r="G372" t="s">
        <v>447</v>
      </c>
      <c r="H372">
        <v>181009160103</v>
      </c>
      <c r="I372" t="str">
        <f>CashIntraTable[Portfolio]&amp;VALUE(CashIntraTable[Cash Date])&amp;CashIntraTable[Detail]</f>
        <v>SCBKEQTG433832.2. Switch-out</v>
      </c>
    </row>
    <row r="373" spans="1:9" x14ac:dyDescent="0.2">
      <c r="A373" t="s">
        <v>493</v>
      </c>
      <c r="B373" t="s">
        <v>23</v>
      </c>
      <c r="C373" s="50">
        <v>43385</v>
      </c>
      <c r="D373" t="s">
        <v>446</v>
      </c>
      <c r="E373">
        <v>-32025.37</v>
      </c>
      <c r="F373" t="s">
        <v>380</v>
      </c>
      <c r="G373" t="s">
        <v>447</v>
      </c>
      <c r="H373">
        <v>181009160103</v>
      </c>
      <c r="I373" t="str">
        <f>CashIntraTable[Portfolio]&amp;VALUE(CashIntraTable[Cash Date])&amp;CashIntraTable[Detail]</f>
        <v>SCBKEQTG433852.2. Switch-out</v>
      </c>
    </row>
    <row r="374" spans="1:9" x14ac:dyDescent="0.2">
      <c r="A374" t="s">
        <v>494</v>
      </c>
      <c r="B374" t="s">
        <v>23</v>
      </c>
      <c r="C374" s="50">
        <v>43383</v>
      </c>
      <c r="D374" t="s">
        <v>446</v>
      </c>
      <c r="E374">
        <v>10346672.09</v>
      </c>
      <c r="F374" t="s">
        <v>377</v>
      </c>
      <c r="G374" t="s">
        <v>447</v>
      </c>
      <c r="H374">
        <v>181009160103</v>
      </c>
      <c r="I374" t="str">
        <f>CashIntraTable[Portfolio]&amp;VALUE(CashIntraTable[Cash Date])&amp;CashIntraTable[Detail]</f>
        <v>SCBLEQFUND433831.1. Subscription</v>
      </c>
    </row>
    <row r="375" spans="1:9" x14ac:dyDescent="0.2">
      <c r="A375" t="s">
        <v>494</v>
      </c>
      <c r="B375" t="s">
        <v>23</v>
      </c>
      <c r="C375" s="50">
        <v>43382</v>
      </c>
      <c r="D375" t="s">
        <v>446</v>
      </c>
      <c r="E375">
        <v>203036.07</v>
      </c>
      <c r="F375" t="s">
        <v>378</v>
      </c>
      <c r="G375" t="s">
        <v>447</v>
      </c>
      <c r="H375">
        <v>181009160103</v>
      </c>
      <c r="I375" t="str">
        <f>CashIntraTable[Portfolio]&amp;VALUE(CashIntraTable[Cash Date])&amp;CashIntraTable[Detail]</f>
        <v>SCBLEQFUND433821.2. Switch-in</v>
      </c>
    </row>
    <row r="376" spans="1:9" x14ac:dyDescent="0.2">
      <c r="A376" t="s">
        <v>494</v>
      </c>
      <c r="B376" t="s">
        <v>23</v>
      </c>
      <c r="C376" s="50">
        <v>43383</v>
      </c>
      <c r="D376" t="s">
        <v>446</v>
      </c>
      <c r="E376">
        <v>1040000</v>
      </c>
      <c r="F376" t="s">
        <v>378</v>
      </c>
      <c r="G376" t="s">
        <v>447</v>
      </c>
      <c r="H376">
        <v>181009160103</v>
      </c>
      <c r="I376" t="str">
        <f>CashIntraTable[Portfolio]&amp;VALUE(CashIntraTable[Cash Date])&amp;CashIntraTable[Detail]</f>
        <v>SCBLEQFUND433831.2. Switch-in</v>
      </c>
    </row>
    <row r="377" spans="1:9" x14ac:dyDescent="0.2">
      <c r="A377" t="s">
        <v>494</v>
      </c>
      <c r="B377" t="s">
        <v>23</v>
      </c>
      <c r="C377" s="50">
        <v>43383</v>
      </c>
      <c r="D377" t="s">
        <v>446</v>
      </c>
      <c r="E377">
        <v>-10878524.27</v>
      </c>
      <c r="F377" t="s">
        <v>379</v>
      </c>
      <c r="G377" t="s">
        <v>447</v>
      </c>
      <c r="H377">
        <v>181009160103</v>
      </c>
      <c r="I377" t="str">
        <f>CashIntraTable[Portfolio]&amp;VALUE(CashIntraTable[Cash Date])&amp;CashIntraTable[Detail]</f>
        <v>SCBLEQFUND433832.1. Redemption</v>
      </c>
    </row>
    <row r="378" spans="1:9" x14ac:dyDescent="0.2">
      <c r="A378" t="s">
        <v>494</v>
      </c>
      <c r="B378" t="s">
        <v>23</v>
      </c>
      <c r="C378" s="50">
        <v>43384</v>
      </c>
      <c r="D378" t="s">
        <v>446</v>
      </c>
      <c r="E378">
        <v>-2062580.64</v>
      </c>
      <c r="F378" t="s">
        <v>379</v>
      </c>
      <c r="G378" t="s">
        <v>447</v>
      </c>
      <c r="H378">
        <v>181009160103</v>
      </c>
      <c r="I378" t="str">
        <f>CashIntraTable[Portfolio]&amp;VALUE(CashIntraTable[Cash Date])&amp;CashIntraTable[Detail]</f>
        <v>SCBLEQFUND433842.1. Redemption</v>
      </c>
    </row>
    <row r="379" spans="1:9" x14ac:dyDescent="0.2">
      <c r="A379" t="s">
        <v>494</v>
      </c>
      <c r="B379" t="s">
        <v>23</v>
      </c>
      <c r="C379" s="50">
        <v>43385</v>
      </c>
      <c r="D379" t="s">
        <v>446</v>
      </c>
      <c r="E379">
        <v>-614787.05000000005</v>
      </c>
      <c r="F379" t="s">
        <v>379</v>
      </c>
      <c r="G379" t="s">
        <v>447</v>
      </c>
      <c r="H379">
        <v>181009160103</v>
      </c>
      <c r="I379" t="str">
        <f>CashIntraTable[Portfolio]&amp;VALUE(CashIntraTable[Cash Date])&amp;CashIntraTable[Detail]</f>
        <v>SCBLEQFUND433852.1. Redemption</v>
      </c>
    </row>
    <row r="380" spans="1:9" x14ac:dyDescent="0.2">
      <c r="A380" t="s">
        <v>494</v>
      </c>
      <c r="B380" t="s">
        <v>23</v>
      </c>
      <c r="C380" s="50">
        <v>43382</v>
      </c>
      <c r="D380" t="s">
        <v>446</v>
      </c>
      <c r="E380">
        <v>-3993544.49</v>
      </c>
      <c r="F380" t="s">
        <v>380</v>
      </c>
      <c r="G380" t="s">
        <v>447</v>
      </c>
      <c r="H380">
        <v>181009160103</v>
      </c>
      <c r="I380" t="str">
        <f>CashIntraTable[Portfolio]&amp;VALUE(CashIntraTable[Cash Date])&amp;CashIntraTable[Detail]</f>
        <v>SCBLEQFUND433822.2. Switch-out</v>
      </c>
    </row>
    <row r="381" spans="1:9" x14ac:dyDescent="0.2">
      <c r="A381" t="s">
        <v>495</v>
      </c>
      <c r="B381" t="s">
        <v>23</v>
      </c>
      <c r="C381" s="50">
        <v>43382</v>
      </c>
      <c r="D381" t="s">
        <v>446</v>
      </c>
      <c r="E381">
        <v>6405240.2300000004</v>
      </c>
      <c r="F381" t="s">
        <v>377</v>
      </c>
      <c r="G381" t="s">
        <v>447</v>
      </c>
      <c r="H381">
        <v>181009160103</v>
      </c>
      <c r="I381" t="str">
        <f>CashIntraTable[Portfolio]&amp;VALUE(CashIntraTable[Cash Date])&amp;CashIntraTable[Detail]</f>
        <v>SCBLT1433821.1. Subscription</v>
      </c>
    </row>
    <row r="382" spans="1:9" x14ac:dyDescent="0.2">
      <c r="A382" t="s">
        <v>495</v>
      </c>
      <c r="B382" t="s">
        <v>23</v>
      </c>
      <c r="C382" s="50">
        <v>43383</v>
      </c>
      <c r="D382" t="s">
        <v>446</v>
      </c>
      <c r="E382">
        <v>7483600</v>
      </c>
      <c r="F382" t="s">
        <v>377</v>
      </c>
      <c r="G382" t="s">
        <v>447</v>
      </c>
      <c r="H382">
        <v>181009160103</v>
      </c>
      <c r="I382" t="str">
        <f>CashIntraTable[Portfolio]&amp;VALUE(CashIntraTable[Cash Date])&amp;CashIntraTable[Detail]</f>
        <v>SCBLT1433831.1. Subscription</v>
      </c>
    </row>
    <row r="383" spans="1:9" x14ac:dyDescent="0.2">
      <c r="A383" t="s">
        <v>495</v>
      </c>
      <c r="B383" t="s">
        <v>23</v>
      </c>
      <c r="C383" s="50">
        <v>43382</v>
      </c>
      <c r="D383" t="s">
        <v>446</v>
      </c>
      <c r="E383">
        <v>9172500</v>
      </c>
      <c r="F383" t="s">
        <v>381</v>
      </c>
      <c r="G383" t="s">
        <v>447</v>
      </c>
      <c r="H383">
        <v>181009160103</v>
      </c>
      <c r="I383" t="str">
        <f>CashIntraTable[Portfolio]&amp;VALUE(CashIntraTable[Cash Date])&amp;CashIntraTable[Detail]</f>
        <v>SCBLT1433821.1. Subscription (Chq)</v>
      </c>
    </row>
    <row r="384" spans="1:9" x14ac:dyDescent="0.2">
      <c r="A384" t="s">
        <v>495</v>
      </c>
      <c r="B384" t="s">
        <v>23</v>
      </c>
      <c r="C384" s="50">
        <v>43383</v>
      </c>
      <c r="D384" t="s">
        <v>446</v>
      </c>
      <c r="E384">
        <v>9146480</v>
      </c>
      <c r="F384" t="s">
        <v>381</v>
      </c>
      <c r="G384" t="s">
        <v>447</v>
      </c>
      <c r="H384">
        <v>181009160103</v>
      </c>
      <c r="I384" t="str">
        <f>CashIntraTable[Portfolio]&amp;VALUE(CashIntraTable[Cash Date])&amp;CashIntraTable[Detail]</f>
        <v>SCBLT1433831.1. Subscription (Chq)</v>
      </c>
    </row>
    <row r="385" spans="1:9" x14ac:dyDescent="0.2">
      <c r="A385" t="s">
        <v>495</v>
      </c>
      <c r="B385" t="s">
        <v>23</v>
      </c>
      <c r="C385" s="50">
        <v>43382</v>
      </c>
      <c r="D385" t="s">
        <v>446</v>
      </c>
      <c r="E385">
        <v>1549019.74</v>
      </c>
      <c r="F385" t="s">
        <v>378</v>
      </c>
      <c r="G385" t="s">
        <v>447</v>
      </c>
      <c r="H385">
        <v>181009160103</v>
      </c>
      <c r="I385" t="str">
        <f>CashIntraTable[Portfolio]&amp;VALUE(CashIntraTable[Cash Date])&amp;CashIntraTable[Detail]</f>
        <v>SCBLT1433821.2. Switch-in</v>
      </c>
    </row>
    <row r="386" spans="1:9" x14ac:dyDescent="0.2">
      <c r="A386" t="s">
        <v>495</v>
      </c>
      <c r="B386" t="s">
        <v>23</v>
      </c>
      <c r="C386" s="50">
        <v>43383</v>
      </c>
      <c r="D386" t="s">
        <v>446</v>
      </c>
      <c r="E386">
        <v>2384877.81</v>
      </c>
      <c r="F386" t="s">
        <v>378</v>
      </c>
      <c r="G386" t="s">
        <v>447</v>
      </c>
      <c r="H386">
        <v>181009160103</v>
      </c>
      <c r="I386" t="str">
        <f>CashIntraTable[Portfolio]&amp;VALUE(CashIntraTable[Cash Date])&amp;CashIntraTable[Detail]</f>
        <v>SCBLT1433831.2. Switch-in</v>
      </c>
    </row>
    <row r="387" spans="1:9" x14ac:dyDescent="0.2">
      <c r="A387" t="s">
        <v>495</v>
      </c>
      <c r="B387" t="s">
        <v>23</v>
      </c>
      <c r="C387" s="50">
        <v>43384</v>
      </c>
      <c r="D387" t="s">
        <v>446</v>
      </c>
      <c r="E387">
        <v>3132094.96</v>
      </c>
      <c r="F387" t="s">
        <v>378</v>
      </c>
      <c r="G387" t="s">
        <v>447</v>
      </c>
      <c r="H387">
        <v>181009160103</v>
      </c>
      <c r="I387" t="str">
        <f>CashIntraTable[Portfolio]&amp;VALUE(CashIntraTable[Cash Date])&amp;CashIntraTable[Detail]</f>
        <v>SCBLT1433841.2. Switch-in</v>
      </c>
    </row>
    <row r="388" spans="1:9" x14ac:dyDescent="0.2">
      <c r="A388" t="s">
        <v>495</v>
      </c>
      <c r="B388" t="s">
        <v>23</v>
      </c>
      <c r="C388" s="50">
        <v>43385</v>
      </c>
      <c r="D388" t="s">
        <v>446</v>
      </c>
      <c r="E388">
        <v>51933.05</v>
      </c>
      <c r="F388" t="s">
        <v>378</v>
      </c>
      <c r="G388" t="s">
        <v>447</v>
      </c>
      <c r="H388">
        <v>181009160103</v>
      </c>
      <c r="I388" t="str">
        <f>CashIntraTable[Portfolio]&amp;VALUE(CashIntraTable[Cash Date])&amp;CashIntraTable[Detail]</f>
        <v>SCBLT1433851.2. Switch-in</v>
      </c>
    </row>
    <row r="389" spans="1:9" x14ac:dyDescent="0.2">
      <c r="A389" t="s">
        <v>495</v>
      </c>
      <c r="B389" t="s">
        <v>23</v>
      </c>
      <c r="C389" s="50">
        <v>43382</v>
      </c>
      <c r="D389" t="s">
        <v>446</v>
      </c>
      <c r="E389">
        <v>-1935845.92</v>
      </c>
      <c r="F389" t="s">
        <v>379</v>
      </c>
      <c r="G389" t="s">
        <v>447</v>
      </c>
      <c r="H389">
        <v>181009160103</v>
      </c>
      <c r="I389" t="str">
        <f>CashIntraTable[Portfolio]&amp;VALUE(CashIntraTable[Cash Date])&amp;CashIntraTable[Detail]</f>
        <v>SCBLT1433822.1. Redemption</v>
      </c>
    </row>
    <row r="390" spans="1:9" x14ac:dyDescent="0.2">
      <c r="A390" t="s">
        <v>495</v>
      </c>
      <c r="B390" t="s">
        <v>23</v>
      </c>
      <c r="C390" s="50">
        <v>43383</v>
      </c>
      <c r="D390" t="s">
        <v>446</v>
      </c>
      <c r="E390">
        <v>-8307874.8799999999</v>
      </c>
      <c r="F390" t="s">
        <v>379</v>
      </c>
      <c r="G390" t="s">
        <v>447</v>
      </c>
      <c r="H390">
        <v>181009160103</v>
      </c>
      <c r="I390" t="str">
        <f>CashIntraTable[Portfolio]&amp;VALUE(CashIntraTable[Cash Date])&amp;CashIntraTable[Detail]</f>
        <v>SCBLT1433832.1. Redemption</v>
      </c>
    </row>
    <row r="391" spans="1:9" x14ac:dyDescent="0.2">
      <c r="A391" t="s">
        <v>495</v>
      </c>
      <c r="B391" t="s">
        <v>23</v>
      </c>
      <c r="C391" s="50">
        <v>43384</v>
      </c>
      <c r="D391" t="s">
        <v>446</v>
      </c>
      <c r="E391">
        <v>-6217680.1100000003</v>
      </c>
      <c r="F391" t="s">
        <v>379</v>
      </c>
      <c r="G391" t="s">
        <v>447</v>
      </c>
      <c r="H391">
        <v>181009160103</v>
      </c>
      <c r="I391" t="str">
        <f>CashIntraTable[Portfolio]&amp;VALUE(CashIntraTable[Cash Date])&amp;CashIntraTable[Detail]</f>
        <v>SCBLT1433842.1. Redemption</v>
      </c>
    </row>
    <row r="392" spans="1:9" x14ac:dyDescent="0.2">
      <c r="A392" t="s">
        <v>495</v>
      </c>
      <c r="B392" t="s">
        <v>23</v>
      </c>
      <c r="C392" s="50">
        <v>43382</v>
      </c>
      <c r="D392" t="s">
        <v>446</v>
      </c>
      <c r="E392">
        <v>-1542206.35</v>
      </c>
      <c r="F392" t="s">
        <v>380</v>
      </c>
      <c r="G392" t="s">
        <v>447</v>
      </c>
      <c r="H392">
        <v>181009160103</v>
      </c>
      <c r="I392" t="str">
        <f>CashIntraTable[Portfolio]&amp;VALUE(CashIntraTable[Cash Date])&amp;CashIntraTable[Detail]</f>
        <v>SCBLT1433822.2. Switch-out</v>
      </c>
    </row>
    <row r="393" spans="1:9" x14ac:dyDescent="0.2">
      <c r="A393" t="s">
        <v>495</v>
      </c>
      <c r="B393" t="s">
        <v>23</v>
      </c>
      <c r="C393" s="50">
        <v>43383</v>
      </c>
      <c r="D393" t="s">
        <v>446</v>
      </c>
      <c r="E393">
        <v>-1175552.3799999999</v>
      </c>
      <c r="F393" t="s">
        <v>380</v>
      </c>
      <c r="G393" t="s">
        <v>447</v>
      </c>
      <c r="H393">
        <v>181009160103</v>
      </c>
      <c r="I393" t="str">
        <f>CashIntraTable[Portfolio]&amp;VALUE(CashIntraTable[Cash Date])&amp;CashIntraTable[Detail]</f>
        <v>SCBLT1433832.2. Switch-out</v>
      </c>
    </row>
    <row r="394" spans="1:9" x14ac:dyDescent="0.2">
      <c r="A394" t="s">
        <v>495</v>
      </c>
      <c r="B394" t="s">
        <v>23</v>
      </c>
      <c r="C394" s="50">
        <v>43384</v>
      </c>
      <c r="D394" t="s">
        <v>446</v>
      </c>
      <c r="E394">
        <v>-233341.89</v>
      </c>
      <c r="F394" t="s">
        <v>380</v>
      </c>
      <c r="G394" t="s">
        <v>447</v>
      </c>
      <c r="H394">
        <v>181009160103</v>
      </c>
      <c r="I394" t="str">
        <f>CashIntraTable[Portfolio]&amp;VALUE(CashIntraTable[Cash Date])&amp;CashIntraTable[Detail]</f>
        <v>SCBLT1433842.2. Switch-out</v>
      </c>
    </row>
    <row r="395" spans="1:9" x14ac:dyDescent="0.2">
      <c r="A395" t="s">
        <v>496</v>
      </c>
      <c r="B395" t="s">
        <v>23</v>
      </c>
      <c r="C395" s="50">
        <v>43382</v>
      </c>
      <c r="D395" t="s">
        <v>446</v>
      </c>
      <c r="E395">
        <v>2965200</v>
      </c>
      <c r="F395" t="s">
        <v>377</v>
      </c>
      <c r="G395" t="s">
        <v>447</v>
      </c>
      <c r="H395">
        <v>181009160103</v>
      </c>
      <c r="I395" t="str">
        <f>CashIntraTable[Portfolio]&amp;VALUE(CashIntraTable[Cash Date])&amp;CashIntraTable[Detail]</f>
        <v>SCBLT2433821.1. Subscription</v>
      </c>
    </row>
    <row r="396" spans="1:9" x14ac:dyDescent="0.2">
      <c r="A396" t="s">
        <v>496</v>
      </c>
      <c r="B396" t="s">
        <v>23</v>
      </c>
      <c r="C396" s="50">
        <v>43383</v>
      </c>
      <c r="D396" t="s">
        <v>446</v>
      </c>
      <c r="E396">
        <v>915404.87</v>
      </c>
      <c r="F396" t="s">
        <v>377</v>
      </c>
      <c r="G396" t="s">
        <v>447</v>
      </c>
      <c r="H396">
        <v>181009160103</v>
      </c>
      <c r="I396" t="str">
        <f>CashIntraTable[Portfolio]&amp;VALUE(CashIntraTable[Cash Date])&amp;CashIntraTable[Detail]</f>
        <v>SCBLT2433831.1. Subscription</v>
      </c>
    </row>
    <row r="397" spans="1:9" x14ac:dyDescent="0.2">
      <c r="A397" t="s">
        <v>496</v>
      </c>
      <c r="B397" t="s">
        <v>23</v>
      </c>
      <c r="C397" s="50">
        <v>43382</v>
      </c>
      <c r="D397" t="s">
        <v>446</v>
      </c>
      <c r="E397">
        <v>2723700</v>
      </c>
      <c r="F397" t="s">
        <v>381</v>
      </c>
      <c r="G397" t="s">
        <v>447</v>
      </c>
      <c r="H397">
        <v>181009160103</v>
      </c>
      <c r="I397" t="str">
        <f>CashIntraTable[Portfolio]&amp;VALUE(CashIntraTable[Cash Date])&amp;CashIntraTable[Detail]</f>
        <v>SCBLT2433821.1. Subscription (Chq)</v>
      </c>
    </row>
    <row r="398" spans="1:9" x14ac:dyDescent="0.2">
      <c r="A398" t="s">
        <v>496</v>
      </c>
      <c r="B398" t="s">
        <v>23</v>
      </c>
      <c r="C398" s="50">
        <v>43383</v>
      </c>
      <c r="D398" t="s">
        <v>446</v>
      </c>
      <c r="E398">
        <v>2005000</v>
      </c>
      <c r="F398" t="s">
        <v>381</v>
      </c>
      <c r="G398" t="s">
        <v>447</v>
      </c>
      <c r="H398">
        <v>181009160103</v>
      </c>
      <c r="I398" t="str">
        <f>CashIntraTable[Portfolio]&amp;VALUE(CashIntraTable[Cash Date])&amp;CashIntraTable[Detail]</f>
        <v>SCBLT2433831.1. Subscription (Chq)</v>
      </c>
    </row>
    <row r="399" spans="1:9" x14ac:dyDescent="0.2">
      <c r="A399" t="s">
        <v>496</v>
      </c>
      <c r="B399" t="s">
        <v>23</v>
      </c>
      <c r="C399" s="50">
        <v>43382</v>
      </c>
      <c r="D399" t="s">
        <v>446</v>
      </c>
      <c r="E399">
        <v>1413076.77</v>
      </c>
      <c r="F399" t="s">
        <v>378</v>
      </c>
      <c r="G399" t="s">
        <v>447</v>
      </c>
      <c r="H399">
        <v>181009160103</v>
      </c>
      <c r="I399" t="str">
        <f>CashIntraTable[Portfolio]&amp;VALUE(CashIntraTable[Cash Date])&amp;CashIntraTable[Detail]</f>
        <v>SCBLT2433821.2. Switch-in</v>
      </c>
    </row>
    <row r="400" spans="1:9" x14ac:dyDescent="0.2">
      <c r="A400" t="s">
        <v>496</v>
      </c>
      <c r="B400" t="s">
        <v>23</v>
      </c>
      <c r="C400" s="50">
        <v>43383</v>
      </c>
      <c r="D400" t="s">
        <v>446</v>
      </c>
      <c r="E400">
        <v>83943.17</v>
      </c>
      <c r="F400" t="s">
        <v>378</v>
      </c>
      <c r="G400" t="s">
        <v>447</v>
      </c>
      <c r="H400">
        <v>181009160103</v>
      </c>
      <c r="I400" t="str">
        <f>CashIntraTable[Portfolio]&amp;VALUE(CashIntraTable[Cash Date])&amp;CashIntraTable[Detail]</f>
        <v>SCBLT2433831.2. Switch-in</v>
      </c>
    </row>
    <row r="401" spans="1:9" x14ac:dyDescent="0.2">
      <c r="A401" t="s">
        <v>496</v>
      </c>
      <c r="B401" t="s">
        <v>23</v>
      </c>
      <c r="C401" s="50">
        <v>43384</v>
      </c>
      <c r="D401" t="s">
        <v>446</v>
      </c>
      <c r="E401">
        <v>78654.710000000006</v>
      </c>
      <c r="F401" t="s">
        <v>378</v>
      </c>
      <c r="G401" t="s">
        <v>447</v>
      </c>
      <c r="H401">
        <v>181009160103</v>
      </c>
      <c r="I401" t="str">
        <f>CashIntraTable[Portfolio]&amp;VALUE(CashIntraTable[Cash Date])&amp;CashIntraTable[Detail]</f>
        <v>SCBLT2433841.2. Switch-in</v>
      </c>
    </row>
    <row r="402" spans="1:9" x14ac:dyDescent="0.2">
      <c r="A402" t="s">
        <v>496</v>
      </c>
      <c r="B402" t="s">
        <v>23</v>
      </c>
      <c r="C402" s="50">
        <v>43382</v>
      </c>
      <c r="D402" t="s">
        <v>446</v>
      </c>
      <c r="E402">
        <v>-504319.33</v>
      </c>
      <c r="F402" t="s">
        <v>379</v>
      </c>
      <c r="G402" t="s">
        <v>447</v>
      </c>
      <c r="H402">
        <v>181009160103</v>
      </c>
      <c r="I402" t="str">
        <f>CashIntraTable[Portfolio]&amp;VALUE(CashIntraTable[Cash Date])&amp;CashIntraTable[Detail]</f>
        <v>SCBLT2433822.1. Redemption</v>
      </c>
    </row>
    <row r="403" spans="1:9" x14ac:dyDescent="0.2">
      <c r="A403" t="s">
        <v>496</v>
      </c>
      <c r="B403" t="s">
        <v>23</v>
      </c>
      <c r="C403" s="50">
        <v>43383</v>
      </c>
      <c r="D403" t="s">
        <v>446</v>
      </c>
      <c r="E403">
        <v>-188480.68</v>
      </c>
      <c r="F403" t="s">
        <v>379</v>
      </c>
      <c r="G403" t="s">
        <v>447</v>
      </c>
      <c r="H403">
        <v>181009160103</v>
      </c>
      <c r="I403" t="str">
        <f>CashIntraTable[Portfolio]&amp;VALUE(CashIntraTable[Cash Date])&amp;CashIntraTable[Detail]</f>
        <v>SCBLT2433832.1. Redemption</v>
      </c>
    </row>
    <row r="404" spans="1:9" x14ac:dyDescent="0.2">
      <c r="A404" t="s">
        <v>496</v>
      </c>
      <c r="B404" t="s">
        <v>23</v>
      </c>
      <c r="C404" s="50">
        <v>43384</v>
      </c>
      <c r="D404" t="s">
        <v>446</v>
      </c>
      <c r="E404">
        <v>-283451.15000000002</v>
      </c>
      <c r="F404" t="s">
        <v>379</v>
      </c>
      <c r="G404" t="s">
        <v>447</v>
      </c>
      <c r="H404">
        <v>181009160103</v>
      </c>
      <c r="I404" t="str">
        <f>CashIntraTable[Portfolio]&amp;VALUE(CashIntraTable[Cash Date])&amp;CashIntraTable[Detail]</f>
        <v>SCBLT2433842.1. Redemption</v>
      </c>
    </row>
    <row r="405" spans="1:9" x14ac:dyDescent="0.2">
      <c r="A405" t="s">
        <v>496</v>
      </c>
      <c r="B405" t="s">
        <v>23</v>
      </c>
      <c r="C405" s="50">
        <v>43382</v>
      </c>
      <c r="D405" t="s">
        <v>446</v>
      </c>
      <c r="E405">
        <v>-832499.15</v>
      </c>
      <c r="F405" t="s">
        <v>380</v>
      </c>
      <c r="G405" t="s">
        <v>447</v>
      </c>
      <c r="H405">
        <v>181009160103</v>
      </c>
      <c r="I405" t="str">
        <f>CashIntraTable[Portfolio]&amp;VALUE(CashIntraTable[Cash Date])&amp;CashIntraTable[Detail]</f>
        <v>SCBLT2433822.2. Switch-out</v>
      </c>
    </row>
    <row r="406" spans="1:9" x14ac:dyDescent="0.2">
      <c r="A406" t="s">
        <v>496</v>
      </c>
      <c r="B406" t="s">
        <v>23</v>
      </c>
      <c r="C406" s="50">
        <v>43384</v>
      </c>
      <c r="D406" t="s">
        <v>446</v>
      </c>
      <c r="E406">
        <v>-820846.37</v>
      </c>
      <c r="F406" t="s">
        <v>380</v>
      </c>
      <c r="G406" t="s">
        <v>447</v>
      </c>
      <c r="H406">
        <v>181009160103</v>
      </c>
      <c r="I406" t="str">
        <f>CashIntraTable[Portfolio]&amp;VALUE(CashIntraTable[Cash Date])&amp;CashIntraTable[Detail]</f>
        <v>SCBLT2433842.2. Switch-out</v>
      </c>
    </row>
    <row r="407" spans="1:9" x14ac:dyDescent="0.2">
      <c r="A407" t="s">
        <v>497</v>
      </c>
      <c r="B407" t="s">
        <v>23</v>
      </c>
      <c r="C407" s="50">
        <v>43382</v>
      </c>
      <c r="D407" t="s">
        <v>446</v>
      </c>
      <c r="E407">
        <v>610600</v>
      </c>
      <c r="F407" t="s">
        <v>377</v>
      </c>
      <c r="G407" t="s">
        <v>447</v>
      </c>
      <c r="H407">
        <v>181009160103</v>
      </c>
      <c r="I407" t="str">
        <f>CashIntraTable[Portfolio]&amp;VALUE(CashIntraTable[Cash Date])&amp;CashIntraTable[Detail]</f>
        <v>SCBLT3433821.1. Subscription</v>
      </c>
    </row>
    <row r="408" spans="1:9" x14ac:dyDescent="0.2">
      <c r="A408" t="s">
        <v>497</v>
      </c>
      <c r="B408" t="s">
        <v>23</v>
      </c>
      <c r="C408" s="50">
        <v>43383</v>
      </c>
      <c r="D408" t="s">
        <v>446</v>
      </c>
      <c r="E408">
        <v>190000</v>
      </c>
      <c r="F408" t="s">
        <v>377</v>
      </c>
      <c r="G408" t="s">
        <v>447</v>
      </c>
      <c r="H408">
        <v>181009160103</v>
      </c>
      <c r="I408" t="str">
        <f>CashIntraTable[Portfolio]&amp;VALUE(CashIntraTable[Cash Date])&amp;CashIntraTable[Detail]</f>
        <v>SCBLT3433831.1. Subscription</v>
      </c>
    </row>
    <row r="409" spans="1:9" x14ac:dyDescent="0.2">
      <c r="A409" t="s">
        <v>497</v>
      </c>
      <c r="B409" t="s">
        <v>23</v>
      </c>
      <c r="C409" s="50">
        <v>43382</v>
      </c>
      <c r="D409" t="s">
        <v>446</v>
      </c>
      <c r="E409">
        <v>983500</v>
      </c>
      <c r="F409" t="s">
        <v>381</v>
      </c>
      <c r="G409" t="s">
        <v>447</v>
      </c>
      <c r="H409">
        <v>181009160103</v>
      </c>
      <c r="I409" t="str">
        <f>CashIntraTable[Portfolio]&amp;VALUE(CashIntraTable[Cash Date])&amp;CashIntraTable[Detail]</f>
        <v>SCBLT3433821.1. Subscription (Chq)</v>
      </c>
    </row>
    <row r="410" spans="1:9" x14ac:dyDescent="0.2">
      <c r="A410" t="s">
        <v>497</v>
      </c>
      <c r="B410" t="s">
        <v>23</v>
      </c>
      <c r="C410" s="50">
        <v>43383</v>
      </c>
      <c r="D410" t="s">
        <v>446</v>
      </c>
      <c r="E410">
        <v>1063500</v>
      </c>
      <c r="F410" t="s">
        <v>381</v>
      </c>
      <c r="G410" t="s">
        <v>447</v>
      </c>
      <c r="H410">
        <v>181009160103</v>
      </c>
      <c r="I410" t="str">
        <f>CashIntraTable[Portfolio]&amp;VALUE(CashIntraTable[Cash Date])&amp;CashIntraTable[Detail]</f>
        <v>SCBLT3433831.1. Subscription (Chq)</v>
      </c>
    </row>
    <row r="411" spans="1:9" x14ac:dyDescent="0.2">
      <c r="A411" t="s">
        <v>497</v>
      </c>
      <c r="B411" t="s">
        <v>23</v>
      </c>
      <c r="C411" s="50">
        <v>43382</v>
      </c>
      <c r="D411" t="s">
        <v>446</v>
      </c>
      <c r="E411">
        <v>108250</v>
      </c>
      <c r="F411" t="s">
        <v>378</v>
      </c>
      <c r="G411" t="s">
        <v>447</v>
      </c>
      <c r="H411">
        <v>181009160103</v>
      </c>
      <c r="I411" t="str">
        <f>CashIntraTable[Portfolio]&amp;VALUE(CashIntraTable[Cash Date])&amp;CashIntraTable[Detail]</f>
        <v>SCBLT3433821.2. Switch-in</v>
      </c>
    </row>
    <row r="412" spans="1:9" x14ac:dyDescent="0.2">
      <c r="A412" t="s">
        <v>497</v>
      </c>
      <c r="B412" t="s">
        <v>23</v>
      </c>
      <c r="C412" s="50">
        <v>43383</v>
      </c>
      <c r="D412" t="s">
        <v>446</v>
      </c>
      <c r="E412">
        <v>1056939.6299999999</v>
      </c>
      <c r="F412" t="s">
        <v>378</v>
      </c>
      <c r="G412" t="s">
        <v>447</v>
      </c>
      <c r="H412">
        <v>181009160103</v>
      </c>
      <c r="I412" t="str">
        <f>CashIntraTable[Portfolio]&amp;VALUE(CashIntraTable[Cash Date])&amp;CashIntraTable[Detail]</f>
        <v>SCBLT3433831.2. Switch-in</v>
      </c>
    </row>
    <row r="413" spans="1:9" x14ac:dyDescent="0.2">
      <c r="A413" t="s">
        <v>497</v>
      </c>
      <c r="B413" t="s">
        <v>23</v>
      </c>
      <c r="C413" s="50">
        <v>43384</v>
      </c>
      <c r="D413" t="s">
        <v>446</v>
      </c>
      <c r="E413">
        <v>125358</v>
      </c>
      <c r="F413" t="s">
        <v>378</v>
      </c>
      <c r="G413" t="s">
        <v>447</v>
      </c>
      <c r="H413">
        <v>181009160103</v>
      </c>
      <c r="I413" t="str">
        <f>CashIntraTable[Portfolio]&amp;VALUE(CashIntraTable[Cash Date])&amp;CashIntraTable[Detail]</f>
        <v>SCBLT3433841.2. Switch-in</v>
      </c>
    </row>
    <row r="414" spans="1:9" x14ac:dyDescent="0.2">
      <c r="A414" t="s">
        <v>497</v>
      </c>
      <c r="B414" t="s">
        <v>23</v>
      </c>
      <c r="C414" s="50">
        <v>43382</v>
      </c>
      <c r="D414" t="s">
        <v>446</v>
      </c>
      <c r="E414">
        <v>-239206.87</v>
      </c>
      <c r="F414" t="s">
        <v>379</v>
      </c>
      <c r="G414" t="s">
        <v>447</v>
      </c>
      <c r="H414">
        <v>181009160103</v>
      </c>
      <c r="I414" t="str">
        <f>CashIntraTable[Portfolio]&amp;VALUE(CashIntraTable[Cash Date])&amp;CashIntraTable[Detail]</f>
        <v>SCBLT3433822.1. Redemption</v>
      </c>
    </row>
    <row r="415" spans="1:9" x14ac:dyDescent="0.2">
      <c r="A415" t="s">
        <v>497</v>
      </c>
      <c r="B415" t="s">
        <v>23</v>
      </c>
      <c r="C415" s="50">
        <v>43383</v>
      </c>
      <c r="D415" t="s">
        <v>446</v>
      </c>
      <c r="E415">
        <v>-265777.71999999997</v>
      </c>
      <c r="F415" t="s">
        <v>379</v>
      </c>
      <c r="G415" t="s">
        <v>447</v>
      </c>
      <c r="H415">
        <v>181009160103</v>
      </c>
      <c r="I415" t="str">
        <f>CashIntraTable[Portfolio]&amp;VALUE(CashIntraTable[Cash Date])&amp;CashIntraTable[Detail]</f>
        <v>SCBLT3433832.1. Redemption</v>
      </c>
    </row>
    <row r="416" spans="1:9" x14ac:dyDescent="0.2">
      <c r="A416" t="s">
        <v>497</v>
      </c>
      <c r="B416" t="s">
        <v>23</v>
      </c>
      <c r="C416" s="50">
        <v>43384</v>
      </c>
      <c r="D416" t="s">
        <v>446</v>
      </c>
      <c r="E416">
        <v>-850483.22</v>
      </c>
      <c r="F416" t="s">
        <v>379</v>
      </c>
      <c r="G416" t="s">
        <v>447</v>
      </c>
      <c r="H416">
        <v>181009160103</v>
      </c>
      <c r="I416" t="str">
        <f>CashIntraTable[Portfolio]&amp;VALUE(CashIntraTable[Cash Date])&amp;CashIntraTable[Detail]</f>
        <v>SCBLT3433842.1. Redemption</v>
      </c>
    </row>
    <row r="417" spans="1:9" x14ac:dyDescent="0.2">
      <c r="A417" t="s">
        <v>497</v>
      </c>
      <c r="B417" t="s">
        <v>23</v>
      </c>
      <c r="C417" s="50">
        <v>43382</v>
      </c>
      <c r="D417" t="s">
        <v>446</v>
      </c>
      <c r="E417">
        <v>-791947.96</v>
      </c>
      <c r="F417" t="s">
        <v>380</v>
      </c>
      <c r="G417" t="s">
        <v>447</v>
      </c>
      <c r="H417">
        <v>181009160103</v>
      </c>
      <c r="I417" t="str">
        <f>CashIntraTable[Portfolio]&amp;VALUE(CashIntraTable[Cash Date])&amp;CashIntraTable[Detail]</f>
        <v>SCBLT3433822.2. Switch-out</v>
      </c>
    </row>
    <row r="418" spans="1:9" x14ac:dyDescent="0.2">
      <c r="A418" t="s">
        <v>497</v>
      </c>
      <c r="B418" t="s">
        <v>23</v>
      </c>
      <c r="C418" s="50">
        <v>43383</v>
      </c>
      <c r="D418" t="s">
        <v>446</v>
      </c>
      <c r="E418">
        <v>-613211.99</v>
      </c>
      <c r="F418" t="s">
        <v>380</v>
      </c>
      <c r="G418" t="s">
        <v>447</v>
      </c>
      <c r="H418">
        <v>181009160103</v>
      </c>
      <c r="I418" t="str">
        <f>CashIntraTable[Portfolio]&amp;VALUE(CashIntraTable[Cash Date])&amp;CashIntraTable[Detail]</f>
        <v>SCBLT3433832.2. Switch-out</v>
      </c>
    </row>
    <row r="419" spans="1:9" x14ac:dyDescent="0.2">
      <c r="A419" t="s">
        <v>498</v>
      </c>
      <c r="B419" t="s">
        <v>23</v>
      </c>
      <c r="C419" s="50">
        <v>43382</v>
      </c>
      <c r="D419" t="s">
        <v>446</v>
      </c>
      <c r="E419">
        <v>141500</v>
      </c>
      <c r="F419" t="s">
        <v>377</v>
      </c>
      <c r="G419" t="s">
        <v>447</v>
      </c>
      <c r="H419">
        <v>181009160103</v>
      </c>
      <c r="I419" t="str">
        <f>CashIntraTable[Portfolio]&amp;VALUE(CashIntraTable[Cash Date])&amp;CashIntraTable[Detail]</f>
        <v>SCBLT4433821.1. Subscription</v>
      </c>
    </row>
    <row r="420" spans="1:9" x14ac:dyDescent="0.2">
      <c r="A420" t="s">
        <v>498</v>
      </c>
      <c r="B420" t="s">
        <v>23</v>
      </c>
      <c r="C420" s="50">
        <v>43383</v>
      </c>
      <c r="D420" t="s">
        <v>446</v>
      </c>
      <c r="E420">
        <v>511000</v>
      </c>
      <c r="F420" t="s">
        <v>377</v>
      </c>
      <c r="G420" t="s">
        <v>447</v>
      </c>
      <c r="H420">
        <v>181009160103</v>
      </c>
      <c r="I420" t="str">
        <f>CashIntraTable[Portfolio]&amp;VALUE(CashIntraTable[Cash Date])&amp;CashIntraTable[Detail]</f>
        <v>SCBLT4433831.1. Subscription</v>
      </c>
    </row>
    <row r="421" spans="1:9" x14ac:dyDescent="0.2">
      <c r="A421" t="s">
        <v>498</v>
      </c>
      <c r="B421" t="s">
        <v>23</v>
      </c>
      <c r="C421" s="50">
        <v>43382</v>
      </c>
      <c r="D421" t="s">
        <v>446</v>
      </c>
      <c r="E421">
        <v>320000</v>
      </c>
      <c r="F421" t="s">
        <v>381</v>
      </c>
      <c r="G421" t="s">
        <v>447</v>
      </c>
      <c r="H421">
        <v>181009160103</v>
      </c>
      <c r="I421" t="str">
        <f>CashIntraTable[Portfolio]&amp;VALUE(CashIntraTable[Cash Date])&amp;CashIntraTable[Detail]</f>
        <v>SCBLT4433821.1. Subscription (Chq)</v>
      </c>
    </row>
    <row r="422" spans="1:9" x14ac:dyDescent="0.2">
      <c r="A422" t="s">
        <v>498</v>
      </c>
      <c r="B422" t="s">
        <v>23</v>
      </c>
      <c r="C422" s="50">
        <v>43383</v>
      </c>
      <c r="D422" t="s">
        <v>446</v>
      </c>
      <c r="E422">
        <v>421000</v>
      </c>
      <c r="F422" t="s">
        <v>381</v>
      </c>
      <c r="G422" t="s">
        <v>447</v>
      </c>
      <c r="H422">
        <v>181009160103</v>
      </c>
      <c r="I422" t="str">
        <f>CashIntraTable[Portfolio]&amp;VALUE(CashIntraTable[Cash Date])&amp;CashIntraTable[Detail]</f>
        <v>SCBLT4433831.1. Subscription (Chq)</v>
      </c>
    </row>
    <row r="423" spans="1:9" x14ac:dyDescent="0.2">
      <c r="A423" t="s">
        <v>498</v>
      </c>
      <c r="B423" t="s">
        <v>23</v>
      </c>
      <c r="C423" s="50">
        <v>43382</v>
      </c>
      <c r="D423" t="s">
        <v>446</v>
      </c>
      <c r="E423">
        <v>13009.41</v>
      </c>
      <c r="F423" t="s">
        <v>378</v>
      </c>
      <c r="G423" t="s">
        <v>447</v>
      </c>
      <c r="H423">
        <v>181009160103</v>
      </c>
      <c r="I423" t="str">
        <f>CashIntraTable[Portfolio]&amp;VALUE(CashIntraTable[Cash Date])&amp;CashIntraTable[Detail]</f>
        <v>SCBLT4433821.2. Switch-in</v>
      </c>
    </row>
    <row r="424" spans="1:9" x14ac:dyDescent="0.2">
      <c r="A424" t="s">
        <v>498</v>
      </c>
      <c r="B424" t="s">
        <v>23</v>
      </c>
      <c r="C424" s="50">
        <v>43383</v>
      </c>
      <c r="D424" t="s">
        <v>446</v>
      </c>
      <c r="E424">
        <v>129102.6</v>
      </c>
      <c r="F424" t="s">
        <v>378</v>
      </c>
      <c r="G424" t="s">
        <v>447</v>
      </c>
      <c r="H424">
        <v>181009160103</v>
      </c>
      <c r="I424" t="str">
        <f>CashIntraTable[Portfolio]&amp;VALUE(CashIntraTable[Cash Date])&amp;CashIntraTable[Detail]</f>
        <v>SCBLT4433831.2. Switch-in</v>
      </c>
    </row>
    <row r="425" spans="1:9" x14ac:dyDescent="0.2">
      <c r="A425" t="s">
        <v>498</v>
      </c>
      <c r="B425" t="s">
        <v>23</v>
      </c>
      <c r="C425" s="50">
        <v>43384</v>
      </c>
      <c r="D425" t="s">
        <v>446</v>
      </c>
      <c r="E425">
        <v>109742.93</v>
      </c>
      <c r="F425" t="s">
        <v>378</v>
      </c>
      <c r="G425" t="s">
        <v>447</v>
      </c>
      <c r="H425">
        <v>181009160103</v>
      </c>
      <c r="I425" t="str">
        <f>CashIntraTable[Portfolio]&amp;VALUE(CashIntraTable[Cash Date])&amp;CashIntraTable[Detail]</f>
        <v>SCBLT4433841.2. Switch-in</v>
      </c>
    </row>
    <row r="426" spans="1:9" x14ac:dyDescent="0.2">
      <c r="A426" t="s">
        <v>498</v>
      </c>
      <c r="B426" t="s">
        <v>23</v>
      </c>
      <c r="C426" s="50">
        <v>43385</v>
      </c>
      <c r="D426" t="s">
        <v>446</v>
      </c>
      <c r="E426">
        <v>20000</v>
      </c>
      <c r="F426" t="s">
        <v>378</v>
      </c>
      <c r="G426" t="s">
        <v>447</v>
      </c>
      <c r="H426">
        <v>181009160103</v>
      </c>
      <c r="I426" t="str">
        <f>CashIntraTable[Portfolio]&amp;VALUE(CashIntraTable[Cash Date])&amp;CashIntraTable[Detail]</f>
        <v>SCBLT4433851.2. Switch-in</v>
      </c>
    </row>
    <row r="427" spans="1:9" x14ac:dyDescent="0.2">
      <c r="A427" t="s">
        <v>498</v>
      </c>
      <c r="B427" t="s">
        <v>23</v>
      </c>
      <c r="C427" s="50">
        <v>43382</v>
      </c>
      <c r="D427" t="s">
        <v>446</v>
      </c>
      <c r="E427">
        <v>-15190.21</v>
      </c>
      <c r="F427" t="s">
        <v>379</v>
      </c>
      <c r="G427" t="s">
        <v>447</v>
      </c>
      <c r="H427">
        <v>181009160103</v>
      </c>
      <c r="I427" t="str">
        <f>CashIntraTable[Portfolio]&amp;VALUE(CashIntraTable[Cash Date])&amp;CashIntraTable[Detail]</f>
        <v>SCBLT4433822.1. Redemption</v>
      </c>
    </row>
    <row r="428" spans="1:9" x14ac:dyDescent="0.2">
      <c r="A428" t="s">
        <v>498</v>
      </c>
      <c r="B428" t="s">
        <v>23</v>
      </c>
      <c r="C428" s="50">
        <v>43384</v>
      </c>
      <c r="D428" t="s">
        <v>446</v>
      </c>
      <c r="E428">
        <v>-124413.05</v>
      </c>
      <c r="F428" t="s">
        <v>379</v>
      </c>
      <c r="G428" t="s">
        <v>447</v>
      </c>
      <c r="H428">
        <v>181009160103</v>
      </c>
      <c r="I428" t="str">
        <f>CashIntraTable[Portfolio]&amp;VALUE(CashIntraTable[Cash Date])&amp;CashIntraTable[Detail]</f>
        <v>SCBLT4433842.1. Redemption</v>
      </c>
    </row>
    <row r="429" spans="1:9" x14ac:dyDescent="0.2">
      <c r="A429" t="s">
        <v>498</v>
      </c>
      <c r="B429" t="s">
        <v>23</v>
      </c>
      <c r="C429" s="50">
        <v>43384</v>
      </c>
      <c r="D429" t="s">
        <v>446</v>
      </c>
      <c r="E429">
        <v>-125358</v>
      </c>
      <c r="F429" t="s">
        <v>380</v>
      </c>
      <c r="G429" t="s">
        <v>447</v>
      </c>
      <c r="H429">
        <v>181009160103</v>
      </c>
      <c r="I429" t="str">
        <f>CashIntraTable[Portfolio]&amp;VALUE(CashIntraTable[Cash Date])&amp;CashIntraTable[Detail]</f>
        <v>SCBLT4433842.2. Switch-out</v>
      </c>
    </row>
    <row r="430" spans="1:9" x14ac:dyDescent="0.2">
      <c r="A430" t="s">
        <v>498</v>
      </c>
      <c r="B430" t="s">
        <v>23</v>
      </c>
      <c r="C430" s="50">
        <v>43385</v>
      </c>
      <c r="D430" t="s">
        <v>446</v>
      </c>
      <c r="E430">
        <v>-127291.05</v>
      </c>
      <c r="F430" t="s">
        <v>380</v>
      </c>
      <c r="G430" t="s">
        <v>447</v>
      </c>
      <c r="H430">
        <v>181009160103</v>
      </c>
      <c r="I430" t="str">
        <f>CashIntraTable[Portfolio]&amp;VALUE(CashIntraTable[Cash Date])&amp;CashIntraTable[Detail]</f>
        <v>SCBLT4433852.2. Switch-out</v>
      </c>
    </row>
    <row r="431" spans="1:9" x14ac:dyDescent="0.2">
      <c r="A431" t="s">
        <v>499</v>
      </c>
      <c r="B431" t="s">
        <v>23</v>
      </c>
      <c r="C431" s="50">
        <v>43382</v>
      </c>
      <c r="D431" t="s">
        <v>446</v>
      </c>
      <c r="E431">
        <v>-273651.5</v>
      </c>
      <c r="F431" t="s">
        <v>379</v>
      </c>
      <c r="G431" t="s">
        <v>447</v>
      </c>
      <c r="H431">
        <v>181009160103</v>
      </c>
      <c r="I431" t="str">
        <f>CashIntraTable[Portfolio]&amp;VALUE(CashIntraTable[Cash Date])&amp;CashIntraTable[Detail]</f>
        <v>SCBLTS433822.1. Redemption</v>
      </c>
    </row>
    <row r="432" spans="1:9" x14ac:dyDescent="0.2">
      <c r="A432" t="s">
        <v>499</v>
      </c>
      <c r="B432" t="s">
        <v>23</v>
      </c>
      <c r="C432" s="50">
        <v>43384</v>
      </c>
      <c r="D432" t="s">
        <v>446</v>
      </c>
      <c r="E432">
        <v>-366665.21</v>
      </c>
      <c r="F432" t="s">
        <v>379</v>
      </c>
      <c r="G432" t="s">
        <v>447</v>
      </c>
      <c r="H432">
        <v>181009160103</v>
      </c>
      <c r="I432" t="str">
        <f>CashIntraTable[Portfolio]&amp;VALUE(CashIntraTable[Cash Date])&amp;CashIntraTable[Detail]</f>
        <v>SCBLTS433842.1. Redemption</v>
      </c>
    </row>
    <row r="433" spans="1:9" x14ac:dyDescent="0.2">
      <c r="A433" t="s">
        <v>500</v>
      </c>
      <c r="B433" t="s">
        <v>23</v>
      </c>
      <c r="C433" s="50">
        <v>43382</v>
      </c>
      <c r="D433" t="s">
        <v>446</v>
      </c>
      <c r="E433">
        <v>1171000</v>
      </c>
      <c r="F433" t="s">
        <v>377</v>
      </c>
      <c r="G433" t="s">
        <v>447</v>
      </c>
      <c r="H433">
        <v>181009160103</v>
      </c>
      <c r="I433" t="str">
        <f>CashIntraTable[Portfolio]&amp;VALUE(CashIntraTable[Cash Date])&amp;CashIntraTable[Detail]</f>
        <v>SCBLTSE433821.1. Subscription</v>
      </c>
    </row>
    <row r="434" spans="1:9" x14ac:dyDescent="0.2">
      <c r="A434" t="s">
        <v>500</v>
      </c>
      <c r="B434" t="s">
        <v>23</v>
      </c>
      <c r="C434" s="50">
        <v>43383</v>
      </c>
      <c r="D434" t="s">
        <v>446</v>
      </c>
      <c r="E434">
        <v>729000</v>
      </c>
      <c r="F434" t="s">
        <v>377</v>
      </c>
      <c r="G434" t="s">
        <v>447</v>
      </c>
      <c r="H434">
        <v>181009160103</v>
      </c>
      <c r="I434" t="str">
        <f>CashIntraTable[Portfolio]&amp;VALUE(CashIntraTable[Cash Date])&amp;CashIntraTable[Detail]</f>
        <v>SCBLTSE433831.1. Subscription</v>
      </c>
    </row>
    <row r="435" spans="1:9" x14ac:dyDescent="0.2">
      <c r="A435" t="s">
        <v>500</v>
      </c>
      <c r="B435" t="s">
        <v>23</v>
      </c>
      <c r="C435" s="50">
        <v>43382</v>
      </c>
      <c r="D435" t="s">
        <v>446</v>
      </c>
      <c r="E435">
        <v>849000</v>
      </c>
      <c r="F435" t="s">
        <v>381</v>
      </c>
      <c r="G435" t="s">
        <v>447</v>
      </c>
      <c r="H435">
        <v>181009160103</v>
      </c>
      <c r="I435" t="str">
        <f>CashIntraTable[Portfolio]&amp;VALUE(CashIntraTable[Cash Date])&amp;CashIntraTable[Detail]</f>
        <v>SCBLTSE433821.1. Subscription (Chq)</v>
      </c>
    </row>
    <row r="436" spans="1:9" x14ac:dyDescent="0.2">
      <c r="A436" t="s">
        <v>500</v>
      </c>
      <c r="B436" t="s">
        <v>23</v>
      </c>
      <c r="C436" s="50">
        <v>43383</v>
      </c>
      <c r="D436" t="s">
        <v>446</v>
      </c>
      <c r="E436">
        <v>470000</v>
      </c>
      <c r="F436" t="s">
        <v>381</v>
      </c>
      <c r="G436" t="s">
        <v>447</v>
      </c>
      <c r="H436">
        <v>181009160103</v>
      </c>
      <c r="I436" t="str">
        <f>CashIntraTable[Portfolio]&amp;VALUE(CashIntraTable[Cash Date])&amp;CashIntraTable[Detail]</f>
        <v>SCBLTSE433831.1. Subscription (Chq)</v>
      </c>
    </row>
    <row r="437" spans="1:9" x14ac:dyDescent="0.2">
      <c r="A437" t="s">
        <v>500</v>
      </c>
      <c r="B437" t="s">
        <v>23</v>
      </c>
      <c r="C437" s="50">
        <v>43382</v>
      </c>
      <c r="D437" t="s">
        <v>446</v>
      </c>
      <c r="E437">
        <v>375303.09</v>
      </c>
      <c r="F437" t="s">
        <v>378</v>
      </c>
      <c r="G437" t="s">
        <v>447</v>
      </c>
      <c r="H437">
        <v>181009160103</v>
      </c>
      <c r="I437" t="str">
        <f>CashIntraTable[Portfolio]&amp;VALUE(CashIntraTable[Cash Date])&amp;CashIntraTable[Detail]</f>
        <v>SCBLTSE433821.2. Switch-in</v>
      </c>
    </row>
    <row r="438" spans="1:9" x14ac:dyDescent="0.2">
      <c r="A438" t="s">
        <v>500</v>
      </c>
      <c r="B438" t="s">
        <v>23</v>
      </c>
      <c r="C438" s="50">
        <v>43383</v>
      </c>
      <c r="D438" t="s">
        <v>446</v>
      </c>
      <c r="E438">
        <v>560545.18999999994</v>
      </c>
      <c r="F438" t="s">
        <v>378</v>
      </c>
      <c r="G438" t="s">
        <v>447</v>
      </c>
      <c r="H438">
        <v>181009160103</v>
      </c>
      <c r="I438" t="str">
        <f>CashIntraTable[Portfolio]&amp;VALUE(CashIntraTable[Cash Date])&amp;CashIntraTable[Detail]</f>
        <v>SCBLTSE433831.2. Switch-in</v>
      </c>
    </row>
    <row r="439" spans="1:9" x14ac:dyDescent="0.2">
      <c r="A439" t="s">
        <v>500</v>
      </c>
      <c r="B439" t="s">
        <v>23</v>
      </c>
      <c r="C439" s="50">
        <v>43384</v>
      </c>
      <c r="D439" t="s">
        <v>446</v>
      </c>
      <c r="E439">
        <v>28546.76</v>
      </c>
      <c r="F439" t="s">
        <v>378</v>
      </c>
      <c r="G439" t="s">
        <v>447</v>
      </c>
      <c r="H439">
        <v>181009160103</v>
      </c>
      <c r="I439" t="str">
        <f>CashIntraTable[Portfolio]&amp;VALUE(CashIntraTable[Cash Date])&amp;CashIntraTable[Detail]</f>
        <v>SCBLTSE433841.2. Switch-in</v>
      </c>
    </row>
    <row r="440" spans="1:9" x14ac:dyDescent="0.2">
      <c r="A440" t="s">
        <v>500</v>
      </c>
      <c r="B440" t="s">
        <v>23</v>
      </c>
      <c r="C440" s="50">
        <v>43382</v>
      </c>
      <c r="D440" t="s">
        <v>446</v>
      </c>
      <c r="E440">
        <v>-2066.1799999999998</v>
      </c>
      <c r="F440" t="s">
        <v>379</v>
      </c>
      <c r="G440" t="s">
        <v>447</v>
      </c>
      <c r="H440">
        <v>181009160103</v>
      </c>
      <c r="I440" t="str">
        <f>CashIntraTable[Portfolio]&amp;VALUE(CashIntraTable[Cash Date])&amp;CashIntraTable[Detail]</f>
        <v>SCBLTSE433822.1. Redemption</v>
      </c>
    </row>
    <row r="441" spans="1:9" x14ac:dyDescent="0.2">
      <c r="A441" t="s">
        <v>500</v>
      </c>
      <c r="B441" t="s">
        <v>23</v>
      </c>
      <c r="C441" s="50">
        <v>43383</v>
      </c>
      <c r="D441" t="s">
        <v>446</v>
      </c>
      <c r="E441">
        <v>-9819.64</v>
      </c>
      <c r="F441" t="s">
        <v>379</v>
      </c>
      <c r="G441" t="s">
        <v>447</v>
      </c>
      <c r="H441">
        <v>181009160103</v>
      </c>
      <c r="I441" t="str">
        <f>CashIntraTable[Portfolio]&amp;VALUE(CashIntraTable[Cash Date])&amp;CashIntraTable[Detail]</f>
        <v>SCBLTSE433832.1. Redemption</v>
      </c>
    </row>
    <row r="442" spans="1:9" x14ac:dyDescent="0.2">
      <c r="A442" t="s">
        <v>500</v>
      </c>
      <c r="B442" t="s">
        <v>23</v>
      </c>
      <c r="C442" s="50">
        <v>43384</v>
      </c>
      <c r="D442" t="s">
        <v>446</v>
      </c>
      <c r="E442">
        <v>-9699.82</v>
      </c>
      <c r="F442" t="s">
        <v>379</v>
      </c>
      <c r="G442" t="s">
        <v>447</v>
      </c>
      <c r="H442">
        <v>181009160103</v>
      </c>
      <c r="I442" t="str">
        <f>CashIntraTable[Portfolio]&amp;VALUE(CashIntraTable[Cash Date])&amp;CashIntraTable[Detail]</f>
        <v>SCBLTSE433842.1. Redemption</v>
      </c>
    </row>
    <row r="443" spans="1:9" x14ac:dyDescent="0.2">
      <c r="A443" t="s">
        <v>500</v>
      </c>
      <c r="B443" t="s">
        <v>23</v>
      </c>
      <c r="C443" s="50">
        <v>43382</v>
      </c>
      <c r="D443" t="s">
        <v>446</v>
      </c>
      <c r="E443">
        <v>-1954.49</v>
      </c>
      <c r="F443" t="s">
        <v>380</v>
      </c>
      <c r="G443" t="s">
        <v>447</v>
      </c>
      <c r="H443">
        <v>181009160103</v>
      </c>
      <c r="I443" t="str">
        <f>CashIntraTable[Portfolio]&amp;VALUE(CashIntraTable[Cash Date])&amp;CashIntraTable[Detail]</f>
        <v>SCBLTSE433822.2. Switch-out</v>
      </c>
    </row>
    <row r="444" spans="1:9" x14ac:dyDescent="0.2">
      <c r="A444" t="s">
        <v>500</v>
      </c>
      <c r="B444" t="s">
        <v>23</v>
      </c>
      <c r="C444" s="50">
        <v>43383</v>
      </c>
      <c r="D444" t="s">
        <v>446</v>
      </c>
      <c r="E444">
        <v>-956485.3</v>
      </c>
      <c r="F444" t="s">
        <v>380</v>
      </c>
      <c r="G444" t="s">
        <v>447</v>
      </c>
      <c r="H444">
        <v>181009160103</v>
      </c>
      <c r="I444" t="str">
        <f>CashIntraTable[Portfolio]&amp;VALUE(CashIntraTable[Cash Date])&amp;CashIntraTable[Detail]</f>
        <v>SCBLTSE433832.2. Switch-out</v>
      </c>
    </row>
    <row r="445" spans="1:9" x14ac:dyDescent="0.2">
      <c r="A445" t="s">
        <v>501</v>
      </c>
      <c r="B445" t="s">
        <v>23</v>
      </c>
      <c r="C445" s="50">
        <v>43382</v>
      </c>
      <c r="D445" t="s">
        <v>446</v>
      </c>
      <c r="E445">
        <v>684000</v>
      </c>
      <c r="F445" t="s">
        <v>377</v>
      </c>
      <c r="G445" t="s">
        <v>447</v>
      </c>
      <c r="H445">
        <v>181009160103</v>
      </c>
      <c r="I445" t="str">
        <f>CashIntraTable[Portfolio]&amp;VALUE(CashIntraTable[Cash Date])&amp;CashIntraTable[Detail]</f>
        <v>SCBLTSET433821.1. Subscription</v>
      </c>
    </row>
    <row r="446" spans="1:9" x14ac:dyDescent="0.2">
      <c r="A446" t="s">
        <v>501</v>
      </c>
      <c r="B446" t="s">
        <v>23</v>
      </c>
      <c r="C446" s="50">
        <v>43383</v>
      </c>
      <c r="D446" t="s">
        <v>446</v>
      </c>
      <c r="E446">
        <v>2016000</v>
      </c>
      <c r="F446" t="s">
        <v>377</v>
      </c>
      <c r="G446" t="s">
        <v>447</v>
      </c>
      <c r="H446">
        <v>181009160103</v>
      </c>
      <c r="I446" t="str">
        <f>CashIntraTable[Portfolio]&amp;VALUE(CashIntraTable[Cash Date])&amp;CashIntraTable[Detail]</f>
        <v>SCBLTSET433831.1. Subscription</v>
      </c>
    </row>
    <row r="447" spans="1:9" x14ac:dyDescent="0.2">
      <c r="A447" t="s">
        <v>501</v>
      </c>
      <c r="B447" t="s">
        <v>23</v>
      </c>
      <c r="C447" s="50">
        <v>43382</v>
      </c>
      <c r="D447" t="s">
        <v>446</v>
      </c>
      <c r="E447">
        <v>1399000</v>
      </c>
      <c r="F447" t="s">
        <v>381</v>
      </c>
      <c r="G447" t="s">
        <v>447</v>
      </c>
      <c r="H447">
        <v>181009160103</v>
      </c>
      <c r="I447" t="str">
        <f>CashIntraTable[Portfolio]&amp;VALUE(CashIntraTable[Cash Date])&amp;CashIntraTable[Detail]</f>
        <v>SCBLTSET433821.1. Subscription (Chq)</v>
      </c>
    </row>
    <row r="448" spans="1:9" x14ac:dyDescent="0.2">
      <c r="A448" t="s">
        <v>501</v>
      </c>
      <c r="B448" t="s">
        <v>23</v>
      </c>
      <c r="C448" s="50">
        <v>43383</v>
      </c>
      <c r="D448" t="s">
        <v>446</v>
      </c>
      <c r="E448">
        <v>945000</v>
      </c>
      <c r="F448" t="s">
        <v>381</v>
      </c>
      <c r="G448" t="s">
        <v>447</v>
      </c>
      <c r="H448">
        <v>181009160103</v>
      </c>
      <c r="I448" t="str">
        <f>CashIntraTable[Portfolio]&amp;VALUE(CashIntraTable[Cash Date])&amp;CashIntraTable[Detail]</f>
        <v>SCBLTSET433831.1. Subscription (Chq)</v>
      </c>
    </row>
    <row r="449" spans="1:9" x14ac:dyDescent="0.2">
      <c r="A449" t="s">
        <v>501</v>
      </c>
      <c r="B449" t="s">
        <v>23</v>
      </c>
      <c r="C449" s="50">
        <v>43382</v>
      </c>
      <c r="D449" t="s">
        <v>446</v>
      </c>
      <c r="E449">
        <v>1502521.69</v>
      </c>
      <c r="F449" t="s">
        <v>378</v>
      </c>
      <c r="G449" t="s">
        <v>447</v>
      </c>
      <c r="H449">
        <v>181009160103</v>
      </c>
      <c r="I449" t="str">
        <f>CashIntraTable[Portfolio]&amp;VALUE(CashIntraTable[Cash Date])&amp;CashIntraTable[Detail]</f>
        <v>SCBLTSET433821.2. Switch-in</v>
      </c>
    </row>
    <row r="450" spans="1:9" x14ac:dyDescent="0.2">
      <c r="A450" t="s">
        <v>501</v>
      </c>
      <c r="B450" t="s">
        <v>23</v>
      </c>
      <c r="C450" s="50">
        <v>43383</v>
      </c>
      <c r="D450" t="s">
        <v>446</v>
      </c>
      <c r="E450">
        <v>440040.68</v>
      </c>
      <c r="F450" t="s">
        <v>378</v>
      </c>
      <c r="G450" t="s">
        <v>447</v>
      </c>
      <c r="H450">
        <v>181009160103</v>
      </c>
      <c r="I450" t="str">
        <f>CashIntraTable[Portfolio]&amp;VALUE(CashIntraTable[Cash Date])&amp;CashIntraTable[Detail]</f>
        <v>SCBLTSET433831.2. Switch-in</v>
      </c>
    </row>
    <row r="451" spans="1:9" x14ac:dyDescent="0.2">
      <c r="A451" t="s">
        <v>501</v>
      </c>
      <c r="B451" t="s">
        <v>23</v>
      </c>
      <c r="C451" s="50">
        <v>43384</v>
      </c>
      <c r="D451" t="s">
        <v>446</v>
      </c>
      <c r="E451">
        <v>97277.18</v>
      </c>
      <c r="F451" t="s">
        <v>378</v>
      </c>
      <c r="G451" t="s">
        <v>447</v>
      </c>
      <c r="H451">
        <v>181009160103</v>
      </c>
      <c r="I451" t="str">
        <f>CashIntraTable[Portfolio]&amp;VALUE(CashIntraTable[Cash Date])&amp;CashIntraTable[Detail]</f>
        <v>SCBLTSET433841.2. Switch-in</v>
      </c>
    </row>
    <row r="452" spans="1:9" x14ac:dyDescent="0.2">
      <c r="A452" t="s">
        <v>501</v>
      </c>
      <c r="B452" t="s">
        <v>23</v>
      </c>
      <c r="C452" s="50">
        <v>43385</v>
      </c>
      <c r="D452" t="s">
        <v>446</v>
      </c>
      <c r="E452">
        <v>41154.699999999997</v>
      </c>
      <c r="F452" t="s">
        <v>378</v>
      </c>
      <c r="G452" t="s">
        <v>447</v>
      </c>
      <c r="H452">
        <v>181009160103</v>
      </c>
      <c r="I452" t="str">
        <f>CashIntraTable[Portfolio]&amp;VALUE(CashIntraTable[Cash Date])&amp;CashIntraTable[Detail]</f>
        <v>SCBLTSET433851.2. Switch-in</v>
      </c>
    </row>
    <row r="453" spans="1:9" x14ac:dyDescent="0.2">
      <c r="A453" t="s">
        <v>501</v>
      </c>
      <c r="B453" t="s">
        <v>23</v>
      </c>
      <c r="C453" s="50">
        <v>43382</v>
      </c>
      <c r="D453" t="s">
        <v>446</v>
      </c>
      <c r="E453">
        <v>-3659.66</v>
      </c>
      <c r="F453" t="s">
        <v>379</v>
      </c>
      <c r="G453" t="s">
        <v>447</v>
      </c>
      <c r="H453">
        <v>181009160103</v>
      </c>
      <c r="I453" t="str">
        <f>CashIntraTable[Portfolio]&amp;VALUE(CashIntraTable[Cash Date])&amp;CashIntraTable[Detail]</f>
        <v>SCBLTSET433822.1. Redemption</v>
      </c>
    </row>
    <row r="454" spans="1:9" x14ac:dyDescent="0.2">
      <c r="A454" t="s">
        <v>501</v>
      </c>
      <c r="B454" t="s">
        <v>23</v>
      </c>
      <c r="C454" s="50">
        <v>43384</v>
      </c>
      <c r="D454" t="s">
        <v>446</v>
      </c>
      <c r="E454">
        <v>-1999.97</v>
      </c>
      <c r="F454" t="s">
        <v>379</v>
      </c>
      <c r="G454" t="s">
        <v>447</v>
      </c>
      <c r="H454">
        <v>181009160103</v>
      </c>
      <c r="I454" t="str">
        <f>CashIntraTable[Portfolio]&amp;VALUE(CashIntraTable[Cash Date])&amp;CashIntraTable[Detail]</f>
        <v>SCBLTSET433842.1. Redemption</v>
      </c>
    </row>
    <row r="455" spans="1:9" x14ac:dyDescent="0.2">
      <c r="A455" t="s">
        <v>501</v>
      </c>
      <c r="B455" t="s">
        <v>23</v>
      </c>
      <c r="C455" s="50">
        <v>43383</v>
      </c>
      <c r="D455" t="s">
        <v>446</v>
      </c>
      <c r="E455">
        <v>-83711.89</v>
      </c>
      <c r="F455" t="s">
        <v>380</v>
      </c>
      <c r="G455" t="s">
        <v>447</v>
      </c>
      <c r="H455">
        <v>181009160103</v>
      </c>
      <c r="I455" t="str">
        <f>CashIntraTable[Portfolio]&amp;VALUE(CashIntraTable[Cash Date])&amp;CashIntraTable[Detail]</f>
        <v>SCBLTSET433832.2. Switch-out</v>
      </c>
    </row>
    <row r="456" spans="1:9" x14ac:dyDescent="0.2">
      <c r="A456" t="s">
        <v>502</v>
      </c>
      <c r="B456" t="s">
        <v>23</v>
      </c>
      <c r="C456" s="50">
        <v>43382</v>
      </c>
      <c r="D456" t="s">
        <v>446</v>
      </c>
      <c r="E456">
        <v>1400885.17</v>
      </c>
      <c r="F456" t="s">
        <v>377</v>
      </c>
      <c r="G456" t="s">
        <v>447</v>
      </c>
      <c r="H456">
        <v>181009160103</v>
      </c>
      <c r="I456" t="str">
        <f>CashIntraTable[Portfolio]&amp;VALUE(CashIntraTable[Cash Date])&amp;CashIntraTable[Detail]</f>
        <v>SCBLTT433821.1. Subscription</v>
      </c>
    </row>
    <row r="457" spans="1:9" x14ac:dyDescent="0.2">
      <c r="A457" t="s">
        <v>502</v>
      </c>
      <c r="B457" t="s">
        <v>23</v>
      </c>
      <c r="C457" s="50">
        <v>43383</v>
      </c>
      <c r="D457" t="s">
        <v>446</v>
      </c>
      <c r="E457">
        <v>1050000</v>
      </c>
      <c r="F457" t="s">
        <v>377</v>
      </c>
      <c r="G457" t="s">
        <v>447</v>
      </c>
      <c r="H457">
        <v>181009160103</v>
      </c>
      <c r="I457" t="str">
        <f>CashIntraTable[Portfolio]&amp;VALUE(CashIntraTable[Cash Date])&amp;CashIntraTable[Detail]</f>
        <v>SCBLTT433831.1. Subscription</v>
      </c>
    </row>
    <row r="458" spans="1:9" x14ac:dyDescent="0.2">
      <c r="A458" t="s">
        <v>502</v>
      </c>
      <c r="B458" t="s">
        <v>23</v>
      </c>
      <c r="C458" s="50">
        <v>43382</v>
      </c>
      <c r="D458" t="s">
        <v>446</v>
      </c>
      <c r="E458">
        <v>2466050</v>
      </c>
      <c r="F458" t="s">
        <v>381</v>
      </c>
      <c r="G458" t="s">
        <v>447</v>
      </c>
      <c r="H458">
        <v>181009160103</v>
      </c>
      <c r="I458" t="str">
        <f>CashIntraTable[Portfolio]&amp;VALUE(CashIntraTable[Cash Date])&amp;CashIntraTable[Detail]</f>
        <v>SCBLTT433821.1. Subscription (Chq)</v>
      </c>
    </row>
    <row r="459" spans="1:9" x14ac:dyDescent="0.2">
      <c r="A459" t="s">
        <v>502</v>
      </c>
      <c r="B459" t="s">
        <v>23</v>
      </c>
      <c r="C459" s="50">
        <v>43383</v>
      </c>
      <c r="D459" t="s">
        <v>446</v>
      </c>
      <c r="E459">
        <v>3039000</v>
      </c>
      <c r="F459" t="s">
        <v>381</v>
      </c>
      <c r="G459" t="s">
        <v>447</v>
      </c>
      <c r="H459">
        <v>181009160103</v>
      </c>
      <c r="I459" t="str">
        <f>CashIntraTable[Portfolio]&amp;VALUE(CashIntraTable[Cash Date])&amp;CashIntraTable[Detail]</f>
        <v>SCBLTT433831.1. Subscription (Chq)</v>
      </c>
    </row>
    <row r="460" spans="1:9" x14ac:dyDescent="0.2">
      <c r="A460" t="s">
        <v>502</v>
      </c>
      <c r="B460" t="s">
        <v>23</v>
      </c>
      <c r="C460" s="50">
        <v>43382</v>
      </c>
      <c r="D460" t="s">
        <v>446</v>
      </c>
      <c r="E460">
        <v>1094026.3799999999</v>
      </c>
      <c r="F460" t="s">
        <v>378</v>
      </c>
      <c r="G460" t="s">
        <v>447</v>
      </c>
      <c r="H460">
        <v>181009160103</v>
      </c>
      <c r="I460" t="str">
        <f>CashIntraTable[Portfolio]&amp;VALUE(CashIntraTable[Cash Date])&amp;CashIntraTable[Detail]</f>
        <v>SCBLTT433821.2. Switch-in</v>
      </c>
    </row>
    <row r="461" spans="1:9" x14ac:dyDescent="0.2">
      <c r="A461" t="s">
        <v>502</v>
      </c>
      <c r="B461" t="s">
        <v>23</v>
      </c>
      <c r="C461" s="50">
        <v>43383</v>
      </c>
      <c r="D461" t="s">
        <v>446</v>
      </c>
      <c r="E461">
        <v>708676.53</v>
      </c>
      <c r="F461" t="s">
        <v>378</v>
      </c>
      <c r="G461" t="s">
        <v>447</v>
      </c>
      <c r="H461">
        <v>181009160103</v>
      </c>
      <c r="I461" t="str">
        <f>CashIntraTable[Portfolio]&amp;VALUE(CashIntraTable[Cash Date])&amp;CashIntraTable[Detail]</f>
        <v>SCBLTT433831.2. Switch-in</v>
      </c>
    </row>
    <row r="462" spans="1:9" x14ac:dyDescent="0.2">
      <c r="A462" t="s">
        <v>502</v>
      </c>
      <c r="B462" t="s">
        <v>23</v>
      </c>
      <c r="C462" s="50">
        <v>43384</v>
      </c>
      <c r="D462" t="s">
        <v>446</v>
      </c>
      <c r="E462">
        <v>73542.990000000005</v>
      </c>
      <c r="F462" t="s">
        <v>378</v>
      </c>
      <c r="G462" t="s">
        <v>447</v>
      </c>
      <c r="H462">
        <v>181009160103</v>
      </c>
      <c r="I462" t="str">
        <f>CashIntraTable[Portfolio]&amp;VALUE(CashIntraTable[Cash Date])&amp;CashIntraTable[Detail]</f>
        <v>SCBLTT433841.2. Switch-in</v>
      </c>
    </row>
    <row r="463" spans="1:9" x14ac:dyDescent="0.2">
      <c r="A463" t="s">
        <v>502</v>
      </c>
      <c r="B463" t="s">
        <v>23</v>
      </c>
      <c r="C463" s="50">
        <v>43385</v>
      </c>
      <c r="D463" t="s">
        <v>446</v>
      </c>
      <c r="E463">
        <v>125358</v>
      </c>
      <c r="F463" t="s">
        <v>378</v>
      </c>
      <c r="G463" t="s">
        <v>447</v>
      </c>
      <c r="H463">
        <v>181009160103</v>
      </c>
      <c r="I463" t="str">
        <f>CashIntraTable[Portfolio]&amp;VALUE(CashIntraTable[Cash Date])&amp;CashIntraTable[Detail]</f>
        <v>SCBLTT433851.2. Switch-in</v>
      </c>
    </row>
    <row r="464" spans="1:9" x14ac:dyDescent="0.2">
      <c r="A464" t="s">
        <v>502</v>
      </c>
      <c r="B464" t="s">
        <v>23</v>
      </c>
      <c r="C464" s="50">
        <v>43382</v>
      </c>
      <c r="D464" t="s">
        <v>446</v>
      </c>
      <c r="E464">
        <v>-913313.36</v>
      </c>
      <c r="F464" t="s">
        <v>379</v>
      </c>
      <c r="G464" t="s">
        <v>447</v>
      </c>
      <c r="H464">
        <v>181009160103</v>
      </c>
      <c r="I464" t="str">
        <f>CashIntraTable[Portfolio]&amp;VALUE(CashIntraTable[Cash Date])&amp;CashIntraTable[Detail]</f>
        <v>SCBLTT433822.1. Redemption</v>
      </c>
    </row>
    <row r="465" spans="1:9" x14ac:dyDescent="0.2">
      <c r="A465" t="s">
        <v>502</v>
      </c>
      <c r="B465" t="s">
        <v>23</v>
      </c>
      <c r="C465" s="50">
        <v>43383</v>
      </c>
      <c r="D465" t="s">
        <v>446</v>
      </c>
      <c r="E465">
        <v>-662044.65</v>
      </c>
      <c r="F465" t="s">
        <v>379</v>
      </c>
      <c r="G465" t="s">
        <v>447</v>
      </c>
      <c r="H465">
        <v>181009160103</v>
      </c>
      <c r="I465" t="str">
        <f>CashIntraTable[Portfolio]&amp;VALUE(CashIntraTable[Cash Date])&amp;CashIntraTable[Detail]</f>
        <v>SCBLTT433832.1. Redemption</v>
      </c>
    </row>
    <row r="466" spans="1:9" x14ac:dyDescent="0.2">
      <c r="A466" t="s">
        <v>502</v>
      </c>
      <c r="B466" t="s">
        <v>23</v>
      </c>
      <c r="C466" s="50">
        <v>43384</v>
      </c>
      <c r="D466" t="s">
        <v>446</v>
      </c>
      <c r="E466">
        <v>-321114.15000000002</v>
      </c>
      <c r="F466" t="s">
        <v>379</v>
      </c>
      <c r="G466" t="s">
        <v>447</v>
      </c>
      <c r="H466">
        <v>181009160103</v>
      </c>
      <c r="I466" t="str">
        <f>CashIntraTable[Portfolio]&amp;VALUE(CashIntraTable[Cash Date])&amp;CashIntraTable[Detail]</f>
        <v>SCBLTT433842.1. Redemption</v>
      </c>
    </row>
    <row r="467" spans="1:9" x14ac:dyDescent="0.2">
      <c r="A467" t="s">
        <v>502</v>
      </c>
      <c r="B467" t="s">
        <v>23</v>
      </c>
      <c r="C467" s="50">
        <v>43382</v>
      </c>
      <c r="D467" t="s">
        <v>446</v>
      </c>
      <c r="E467">
        <v>-525048.74</v>
      </c>
      <c r="F467" t="s">
        <v>380</v>
      </c>
      <c r="G467" t="s">
        <v>447</v>
      </c>
      <c r="H467">
        <v>181009160103</v>
      </c>
      <c r="I467" t="str">
        <f>CashIntraTable[Portfolio]&amp;VALUE(CashIntraTable[Cash Date])&amp;CashIntraTable[Detail]</f>
        <v>SCBLTT433822.2. Switch-out</v>
      </c>
    </row>
    <row r="468" spans="1:9" x14ac:dyDescent="0.2">
      <c r="A468" t="s">
        <v>502</v>
      </c>
      <c r="B468" t="s">
        <v>23</v>
      </c>
      <c r="C468" s="50">
        <v>43383</v>
      </c>
      <c r="D468" t="s">
        <v>446</v>
      </c>
      <c r="E468">
        <v>-977.43</v>
      </c>
      <c r="F468" t="s">
        <v>380</v>
      </c>
      <c r="G468" t="s">
        <v>447</v>
      </c>
      <c r="H468">
        <v>181009160103</v>
      </c>
      <c r="I468" t="str">
        <f>CashIntraTable[Portfolio]&amp;VALUE(CashIntraTable[Cash Date])&amp;CashIntraTable[Detail]</f>
        <v>SCBLTT433832.2. Switch-out</v>
      </c>
    </row>
    <row r="469" spans="1:9" x14ac:dyDescent="0.2">
      <c r="A469" t="s">
        <v>502</v>
      </c>
      <c r="B469" t="s">
        <v>23</v>
      </c>
      <c r="C469" s="50">
        <v>43384</v>
      </c>
      <c r="D469" t="s">
        <v>446</v>
      </c>
      <c r="E469">
        <v>-2412826.71</v>
      </c>
      <c r="F469" t="s">
        <v>380</v>
      </c>
      <c r="G469" t="s">
        <v>447</v>
      </c>
      <c r="H469">
        <v>181009160103</v>
      </c>
      <c r="I469" t="str">
        <f>CashIntraTable[Portfolio]&amp;VALUE(CashIntraTable[Cash Date])&amp;CashIntraTable[Detail]</f>
        <v>SCBLTT433842.2. Switch-out</v>
      </c>
    </row>
    <row r="470" spans="1:9" x14ac:dyDescent="0.2">
      <c r="A470" t="s">
        <v>503</v>
      </c>
      <c r="B470" t="s">
        <v>23</v>
      </c>
      <c r="C470" s="50">
        <v>43382</v>
      </c>
      <c r="D470" t="s">
        <v>446</v>
      </c>
      <c r="E470">
        <v>761905.32</v>
      </c>
      <c r="F470" t="s">
        <v>377</v>
      </c>
      <c r="G470" t="s">
        <v>447</v>
      </c>
      <c r="H470">
        <v>181009160103</v>
      </c>
      <c r="I470" t="str">
        <f>CashIntraTable[Portfolio]&amp;VALUE(CashIntraTable[Cash Date])&amp;CashIntraTable[Detail]</f>
        <v>SCBMLT433821.1. Subscription</v>
      </c>
    </row>
    <row r="471" spans="1:9" x14ac:dyDescent="0.2">
      <c r="A471" t="s">
        <v>503</v>
      </c>
      <c r="B471" t="s">
        <v>23</v>
      </c>
      <c r="C471" s="50">
        <v>43383</v>
      </c>
      <c r="D471" t="s">
        <v>446</v>
      </c>
      <c r="E471">
        <v>517000</v>
      </c>
      <c r="F471" t="s">
        <v>377</v>
      </c>
      <c r="G471" t="s">
        <v>447</v>
      </c>
      <c r="H471">
        <v>181009160103</v>
      </c>
      <c r="I471" t="str">
        <f>CashIntraTable[Portfolio]&amp;VALUE(CashIntraTable[Cash Date])&amp;CashIntraTable[Detail]</f>
        <v>SCBMLT433831.1. Subscription</v>
      </c>
    </row>
    <row r="472" spans="1:9" x14ac:dyDescent="0.2">
      <c r="A472" t="s">
        <v>503</v>
      </c>
      <c r="B472" t="s">
        <v>23</v>
      </c>
      <c r="C472" s="50">
        <v>43382</v>
      </c>
      <c r="D472" t="s">
        <v>446</v>
      </c>
      <c r="E472">
        <v>735000</v>
      </c>
      <c r="F472" t="s">
        <v>378</v>
      </c>
      <c r="G472" t="s">
        <v>447</v>
      </c>
      <c r="H472">
        <v>181009160103</v>
      </c>
      <c r="I472" t="str">
        <f>CashIntraTable[Portfolio]&amp;VALUE(CashIntraTable[Cash Date])&amp;CashIntraTable[Detail]</f>
        <v>SCBMLT433821.2. Switch-in</v>
      </c>
    </row>
    <row r="473" spans="1:9" x14ac:dyDescent="0.2">
      <c r="A473" t="s">
        <v>503</v>
      </c>
      <c r="B473" t="s">
        <v>23</v>
      </c>
      <c r="C473" s="50">
        <v>43383</v>
      </c>
      <c r="D473" t="s">
        <v>446</v>
      </c>
      <c r="E473">
        <v>3100000</v>
      </c>
      <c r="F473" t="s">
        <v>378</v>
      </c>
      <c r="G473" t="s">
        <v>447</v>
      </c>
      <c r="H473">
        <v>181009160103</v>
      </c>
      <c r="I473" t="str">
        <f>CashIntraTable[Portfolio]&amp;VALUE(CashIntraTable[Cash Date])&amp;CashIntraTable[Detail]</f>
        <v>SCBMLT433831.2. Switch-in</v>
      </c>
    </row>
    <row r="474" spans="1:9" x14ac:dyDescent="0.2">
      <c r="A474" t="s">
        <v>503</v>
      </c>
      <c r="B474" t="s">
        <v>23</v>
      </c>
      <c r="C474" s="50">
        <v>43384</v>
      </c>
      <c r="D474" t="s">
        <v>446</v>
      </c>
      <c r="E474">
        <v>500000</v>
      </c>
      <c r="F474" t="s">
        <v>378</v>
      </c>
      <c r="G474" t="s">
        <v>447</v>
      </c>
      <c r="H474">
        <v>181009160103</v>
      </c>
      <c r="I474" t="str">
        <f>CashIntraTable[Portfolio]&amp;VALUE(CashIntraTable[Cash Date])&amp;CashIntraTable[Detail]</f>
        <v>SCBMLT433841.2. Switch-in</v>
      </c>
    </row>
    <row r="475" spans="1:9" x14ac:dyDescent="0.2">
      <c r="A475" t="s">
        <v>503</v>
      </c>
      <c r="B475" t="s">
        <v>23</v>
      </c>
      <c r="C475" s="50">
        <v>43385</v>
      </c>
      <c r="D475" t="s">
        <v>446</v>
      </c>
      <c r="E475">
        <v>311255.56</v>
      </c>
      <c r="F475" t="s">
        <v>378</v>
      </c>
      <c r="G475" t="s">
        <v>447</v>
      </c>
      <c r="H475">
        <v>181009160103</v>
      </c>
      <c r="I475" t="str">
        <f>CashIntraTable[Portfolio]&amp;VALUE(CashIntraTable[Cash Date])&amp;CashIntraTable[Detail]</f>
        <v>SCBMLT433851.2. Switch-in</v>
      </c>
    </row>
    <row r="476" spans="1:9" x14ac:dyDescent="0.2">
      <c r="A476" t="s">
        <v>503</v>
      </c>
      <c r="B476" t="s">
        <v>23</v>
      </c>
      <c r="C476" s="50">
        <v>43382</v>
      </c>
      <c r="D476" t="s">
        <v>446</v>
      </c>
      <c r="E476">
        <v>-90507.49</v>
      </c>
      <c r="F476" t="s">
        <v>379</v>
      </c>
      <c r="G476" t="s">
        <v>447</v>
      </c>
      <c r="H476">
        <v>181009160103</v>
      </c>
      <c r="I476" t="str">
        <f>CashIntraTable[Portfolio]&amp;VALUE(CashIntraTable[Cash Date])&amp;CashIntraTable[Detail]</f>
        <v>SCBMLT433822.1. Redemption</v>
      </c>
    </row>
    <row r="477" spans="1:9" x14ac:dyDescent="0.2">
      <c r="A477" t="s">
        <v>503</v>
      </c>
      <c r="B477" t="s">
        <v>23</v>
      </c>
      <c r="C477" s="50">
        <v>43383</v>
      </c>
      <c r="D477" t="s">
        <v>446</v>
      </c>
      <c r="E477">
        <v>-1409092.81</v>
      </c>
      <c r="F477" t="s">
        <v>379</v>
      </c>
      <c r="G477" t="s">
        <v>447</v>
      </c>
      <c r="H477">
        <v>181009160103</v>
      </c>
      <c r="I477" t="str">
        <f>CashIntraTable[Portfolio]&amp;VALUE(CashIntraTable[Cash Date])&amp;CashIntraTable[Detail]</f>
        <v>SCBMLT433832.1. Redemption</v>
      </c>
    </row>
    <row r="478" spans="1:9" x14ac:dyDescent="0.2">
      <c r="A478" t="s">
        <v>503</v>
      </c>
      <c r="B478" t="s">
        <v>23</v>
      </c>
      <c r="C478" s="50">
        <v>43384</v>
      </c>
      <c r="D478" t="s">
        <v>446</v>
      </c>
      <c r="E478">
        <v>-102774.29</v>
      </c>
      <c r="F478" t="s">
        <v>379</v>
      </c>
      <c r="G478" t="s">
        <v>447</v>
      </c>
      <c r="H478">
        <v>181009160103</v>
      </c>
      <c r="I478" t="str">
        <f>CashIntraTable[Portfolio]&amp;VALUE(CashIntraTable[Cash Date])&amp;CashIntraTable[Detail]</f>
        <v>SCBMLT433842.1. Redemption</v>
      </c>
    </row>
    <row r="479" spans="1:9" x14ac:dyDescent="0.2">
      <c r="A479" t="s">
        <v>503</v>
      </c>
      <c r="B479" t="s">
        <v>23</v>
      </c>
      <c r="C479" s="50">
        <v>43384</v>
      </c>
      <c r="D479" t="s">
        <v>446</v>
      </c>
      <c r="E479">
        <v>-2774394.8799999999</v>
      </c>
      <c r="F479" t="s">
        <v>380</v>
      </c>
      <c r="G479" t="s">
        <v>447</v>
      </c>
      <c r="H479">
        <v>181009160103</v>
      </c>
      <c r="I479" t="str">
        <f>CashIntraTable[Portfolio]&amp;VALUE(CashIntraTable[Cash Date])&amp;CashIntraTable[Detail]</f>
        <v>SCBMLT433842.2. Switch-out</v>
      </c>
    </row>
    <row r="480" spans="1:9" x14ac:dyDescent="0.2">
      <c r="A480" t="s">
        <v>504</v>
      </c>
      <c r="B480" t="s">
        <v>23</v>
      </c>
      <c r="C480" s="50">
        <v>43382</v>
      </c>
      <c r="D480" t="s">
        <v>446</v>
      </c>
      <c r="E480">
        <v>5109713.76</v>
      </c>
      <c r="F480" t="s">
        <v>377</v>
      </c>
      <c r="G480" t="s">
        <v>447</v>
      </c>
      <c r="H480">
        <v>181009160103</v>
      </c>
      <c r="I480" t="str">
        <f>CashIntraTable[Portfolio]&amp;VALUE(CashIntraTable[Cash Date])&amp;CashIntraTable[Detail]</f>
        <v>SCBMSEFUND433821.1. Subscription</v>
      </c>
    </row>
    <row r="481" spans="1:9" x14ac:dyDescent="0.2">
      <c r="A481" t="s">
        <v>504</v>
      </c>
      <c r="B481" t="s">
        <v>23</v>
      </c>
      <c r="C481" s="50">
        <v>43383</v>
      </c>
      <c r="D481" t="s">
        <v>446</v>
      </c>
      <c r="E481">
        <v>278500</v>
      </c>
      <c r="F481" t="s">
        <v>377</v>
      </c>
      <c r="G481" t="s">
        <v>447</v>
      </c>
      <c r="H481">
        <v>181009160103</v>
      </c>
      <c r="I481" t="str">
        <f>CashIntraTable[Portfolio]&amp;VALUE(CashIntraTable[Cash Date])&amp;CashIntraTable[Detail]</f>
        <v>SCBMSEFUND433831.1. Subscription</v>
      </c>
    </row>
    <row r="482" spans="1:9" x14ac:dyDescent="0.2">
      <c r="A482" t="s">
        <v>504</v>
      </c>
      <c r="B482" t="s">
        <v>23</v>
      </c>
      <c r="C482" s="50">
        <v>43382</v>
      </c>
      <c r="D482" t="s">
        <v>446</v>
      </c>
      <c r="E482">
        <v>195774.19</v>
      </c>
      <c r="F482" t="s">
        <v>378</v>
      </c>
      <c r="G482" t="s">
        <v>447</v>
      </c>
      <c r="H482">
        <v>181009160103</v>
      </c>
      <c r="I482" t="str">
        <f>CashIntraTable[Portfolio]&amp;VALUE(CashIntraTable[Cash Date])&amp;CashIntraTable[Detail]</f>
        <v>SCBMSEFUND433821.2. Switch-in</v>
      </c>
    </row>
    <row r="483" spans="1:9" x14ac:dyDescent="0.2">
      <c r="A483" t="s">
        <v>504</v>
      </c>
      <c r="B483" t="s">
        <v>23</v>
      </c>
      <c r="C483" s="50">
        <v>43383</v>
      </c>
      <c r="D483" t="s">
        <v>446</v>
      </c>
      <c r="E483">
        <v>3105958</v>
      </c>
      <c r="F483" t="s">
        <v>378</v>
      </c>
      <c r="G483" t="s">
        <v>447</v>
      </c>
      <c r="H483">
        <v>181009160103</v>
      </c>
      <c r="I483" t="str">
        <f>CashIntraTable[Portfolio]&amp;VALUE(CashIntraTable[Cash Date])&amp;CashIntraTable[Detail]</f>
        <v>SCBMSEFUND433831.2. Switch-in</v>
      </c>
    </row>
    <row r="484" spans="1:9" x14ac:dyDescent="0.2">
      <c r="A484" t="s">
        <v>504</v>
      </c>
      <c r="B484" t="s">
        <v>23</v>
      </c>
      <c r="C484" s="50">
        <v>43382</v>
      </c>
      <c r="D484" t="s">
        <v>446</v>
      </c>
      <c r="E484">
        <v>-275891.77</v>
      </c>
      <c r="F484" t="s">
        <v>379</v>
      </c>
      <c r="G484" t="s">
        <v>447</v>
      </c>
      <c r="H484">
        <v>181009160103</v>
      </c>
      <c r="I484" t="str">
        <f>CashIntraTable[Portfolio]&amp;VALUE(CashIntraTable[Cash Date])&amp;CashIntraTable[Detail]</f>
        <v>SCBMSEFUND433822.1. Redemption</v>
      </c>
    </row>
    <row r="485" spans="1:9" x14ac:dyDescent="0.2">
      <c r="A485" t="s">
        <v>504</v>
      </c>
      <c r="B485" t="s">
        <v>23</v>
      </c>
      <c r="C485" s="50">
        <v>43383</v>
      </c>
      <c r="D485" t="s">
        <v>446</v>
      </c>
      <c r="E485">
        <v>-331673.21000000002</v>
      </c>
      <c r="F485" t="s">
        <v>379</v>
      </c>
      <c r="G485" t="s">
        <v>447</v>
      </c>
      <c r="H485">
        <v>181009160103</v>
      </c>
      <c r="I485" t="str">
        <f>CashIntraTable[Portfolio]&amp;VALUE(CashIntraTable[Cash Date])&amp;CashIntraTable[Detail]</f>
        <v>SCBMSEFUND433832.1. Redemption</v>
      </c>
    </row>
    <row r="486" spans="1:9" x14ac:dyDescent="0.2">
      <c r="A486" t="s">
        <v>504</v>
      </c>
      <c r="B486" t="s">
        <v>23</v>
      </c>
      <c r="C486" s="50">
        <v>43384</v>
      </c>
      <c r="D486" t="s">
        <v>446</v>
      </c>
      <c r="E486">
        <v>-1206.54</v>
      </c>
      <c r="F486" t="s">
        <v>379</v>
      </c>
      <c r="G486" t="s">
        <v>447</v>
      </c>
      <c r="H486">
        <v>181009160103</v>
      </c>
      <c r="I486" t="str">
        <f>CashIntraTable[Portfolio]&amp;VALUE(CashIntraTable[Cash Date])&amp;CashIntraTable[Detail]</f>
        <v>SCBMSEFUND433842.1. Redemption</v>
      </c>
    </row>
    <row r="487" spans="1:9" x14ac:dyDescent="0.2">
      <c r="A487" t="s">
        <v>504</v>
      </c>
      <c r="B487" t="s">
        <v>23</v>
      </c>
      <c r="C487" s="50">
        <v>43382</v>
      </c>
      <c r="D487" t="s">
        <v>446</v>
      </c>
      <c r="E487">
        <v>-1005775.24</v>
      </c>
      <c r="F487" t="s">
        <v>380</v>
      </c>
      <c r="G487" t="s">
        <v>447</v>
      </c>
      <c r="H487">
        <v>181009160103</v>
      </c>
      <c r="I487" t="str">
        <f>CashIntraTable[Portfolio]&amp;VALUE(CashIntraTable[Cash Date])&amp;CashIntraTable[Detail]</f>
        <v>SCBMSEFUND433822.2. Switch-out</v>
      </c>
    </row>
    <row r="488" spans="1:9" x14ac:dyDescent="0.2">
      <c r="A488" t="s">
        <v>504</v>
      </c>
      <c r="B488" t="s">
        <v>23</v>
      </c>
      <c r="C488" s="50">
        <v>43383</v>
      </c>
      <c r="D488" t="s">
        <v>446</v>
      </c>
      <c r="E488">
        <v>-100524.88</v>
      </c>
      <c r="F488" t="s">
        <v>380</v>
      </c>
      <c r="G488" t="s">
        <v>447</v>
      </c>
      <c r="H488">
        <v>181009160103</v>
      </c>
      <c r="I488" t="str">
        <f>CashIntraTable[Portfolio]&amp;VALUE(CashIntraTable[Cash Date])&amp;CashIntraTable[Detail]</f>
        <v>SCBMSEFUND433832.2. Switch-out</v>
      </c>
    </row>
    <row r="489" spans="1:9" x14ac:dyDescent="0.2">
      <c r="A489" t="s">
        <v>504</v>
      </c>
      <c r="B489" t="s">
        <v>23</v>
      </c>
      <c r="C489" s="50">
        <v>43384</v>
      </c>
      <c r="D489" t="s">
        <v>446</v>
      </c>
      <c r="E489">
        <v>-16935.810000000001</v>
      </c>
      <c r="F489" t="s">
        <v>380</v>
      </c>
      <c r="G489" t="s">
        <v>447</v>
      </c>
      <c r="H489">
        <v>181009160103</v>
      </c>
      <c r="I489" t="str">
        <f>CashIntraTable[Portfolio]&amp;VALUE(CashIntraTable[Cash Date])&amp;CashIntraTable[Detail]</f>
        <v>SCBMSEFUND433842.2. Switch-out</v>
      </c>
    </row>
    <row r="490" spans="1:9" x14ac:dyDescent="0.2">
      <c r="A490" t="s">
        <v>505</v>
      </c>
      <c r="B490" t="s">
        <v>23</v>
      </c>
      <c r="C490" s="50">
        <v>43383</v>
      </c>
      <c r="D490" t="s">
        <v>446</v>
      </c>
      <c r="E490">
        <v>1862658</v>
      </c>
      <c r="F490" t="s">
        <v>377</v>
      </c>
      <c r="G490" t="s">
        <v>447</v>
      </c>
      <c r="H490">
        <v>181009160103</v>
      </c>
      <c r="I490" t="str">
        <f>CashIntraTable[Portfolio]&amp;VALUE(CashIntraTable[Cash Date])&amp;CashIntraTable[Detail]</f>
        <v>SCBNKY225433831.1. Subscription</v>
      </c>
    </row>
    <row r="491" spans="1:9" x14ac:dyDescent="0.2">
      <c r="A491" t="s">
        <v>505</v>
      </c>
      <c r="B491" t="s">
        <v>23</v>
      </c>
      <c r="C491" s="50">
        <v>43382</v>
      </c>
      <c r="D491" t="s">
        <v>446</v>
      </c>
      <c r="E491">
        <v>8890.8799999999992</v>
      </c>
      <c r="F491" t="s">
        <v>378</v>
      </c>
      <c r="G491" t="s">
        <v>447</v>
      </c>
      <c r="H491">
        <v>181009160103</v>
      </c>
      <c r="I491" t="str">
        <f>CashIntraTable[Portfolio]&amp;VALUE(CashIntraTable[Cash Date])&amp;CashIntraTable[Detail]</f>
        <v>SCBNKY225433821.2. Switch-in</v>
      </c>
    </row>
    <row r="492" spans="1:9" x14ac:dyDescent="0.2">
      <c r="A492" t="s">
        <v>505</v>
      </c>
      <c r="B492" t="s">
        <v>23</v>
      </c>
      <c r="C492" s="50">
        <v>43383</v>
      </c>
      <c r="D492" t="s">
        <v>446</v>
      </c>
      <c r="E492">
        <v>4225971.63</v>
      </c>
      <c r="F492" t="s">
        <v>378</v>
      </c>
      <c r="G492" t="s">
        <v>447</v>
      </c>
      <c r="H492">
        <v>181009160103</v>
      </c>
      <c r="I492" t="str">
        <f>CashIntraTable[Portfolio]&amp;VALUE(CashIntraTable[Cash Date])&amp;CashIntraTable[Detail]</f>
        <v>SCBNKY225433831.2. Switch-in</v>
      </c>
    </row>
    <row r="493" spans="1:9" x14ac:dyDescent="0.2">
      <c r="A493" t="s">
        <v>505</v>
      </c>
      <c r="B493" t="s">
        <v>23</v>
      </c>
      <c r="C493" s="50">
        <v>43384</v>
      </c>
      <c r="D493" t="s">
        <v>446</v>
      </c>
      <c r="E493">
        <v>985751.95</v>
      </c>
      <c r="F493" t="s">
        <v>378</v>
      </c>
      <c r="G493" t="s">
        <v>447</v>
      </c>
      <c r="H493">
        <v>181009160103</v>
      </c>
      <c r="I493" t="str">
        <f>CashIntraTable[Portfolio]&amp;VALUE(CashIntraTable[Cash Date])&amp;CashIntraTable[Detail]</f>
        <v>SCBNKY225433841.2. Switch-in</v>
      </c>
    </row>
    <row r="494" spans="1:9" x14ac:dyDescent="0.2">
      <c r="A494" t="s">
        <v>505</v>
      </c>
      <c r="B494" t="s">
        <v>23</v>
      </c>
      <c r="C494" s="50">
        <v>43385</v>
      </c>
      <c r="D494" t="s">
        <v>446</v>
      </c>
      <c r="E494">
        <v>29406.23</v>
      </c>
      <c r="F494" t="s">
        <v>378</v>
      </c>
      <c r="G494" t="s">
        <v>447</v>
      </c>
      <c r="H494">
        <v>181009160103</v>
      </c>
      <c r="I494" t="str">
        <f>CashIntraTable[Portfolio]&amp;VALUE(CashIntraTable[Cash Date])&amp;CashIntraTable[Detail]</f>
        <v>SCBNKY225433851.2. Switch-in</v>
      </c>
    </row>
    <row r="495" spans="1:9" x14ac:dyDescent="0.2">
      <c r="A495" t="s">
        <v>505</v>
      </c>
      <c r="B495" t="s">
        <v>23</v>
      </c>
      <c r="C495" s="50">
        <v>43382</v>
      </c>
      <c r="D495" t="s">
        <v>446</v>
      </c>
      <c r="E495">
        <v>-1727047.97</v>
      </c>
      <c r="F495" t="s">
        <v>379</v>
      </c>
      <c r="G495" t="s">
        <v>447</v>
      </c>
      <c r="H495">
        <v>181009160103</v>
      </c>
      <c r="I495" t="str">
        <f>CashIntraTable[Portfolio]&amp;VALUE(CashIntraTable[Cash Date])&amp;CashIntraTable[Detail]</f>
        <v>SCBNKY225433822.1. Redemption</v>
      </c>
    </row>
    <row r="496" spans="1:9" x14ac:dyDescent="0.2">
      <c r="A496" t="s">
        <v>505</v>
      </c>
      <c r="B496" t="s">
        <v>23</v>
      </c>
      <c r="C496" s="50">
        <v>43383</v>
      </c>
      <c r="D496" t="s">
        <v>446</v>
      </c>
      <c r="E496">
        <v>-1926929.73</v>
      </c>
      <c r="F496" t="s">
        <v>379</v>
      </c>
      <c r="G496" t="s">
        <v>447</v>
      </c>
      <c r="H496">
        <v>181009160103</v>
      </c>
      <c r="I496" t="str">
        <f>CashIntraTable[Portfolio]&amp;VALUE(CashIntraTable[Cash Date])&amp;CashIntraTable[Detail]</f>
        <v>SCBNKY225433832.1. Redemption</v>
      </c>
    </row>
    <row r="497" spans="1:9" x14ac:dyDescent="0.2">
      <c r="A497" t="s">
        <v>505</v>
      </c>
      <c r="B497" t="s">
        <v>23</v>
      </c>
      <c r="C497" s="50">
        <v>43384</v>
      </c>
      <c r="D497" t="s">
        <v>446</v>
      </c>
      <c r="E497">
        <v>-3970356.65</v>
      </c>
      <c r="F497" t="s">
        <v>379</v>
      </c>
      <c r="G497" t="s">
        <v>447</v>
      </c>
      <c r="H497">
        <v>181009160103</v>
      </c>
      <c r="I497" t="str">
        <f>CashIntraTable[Portfolio]&amp;VALUE(CashIntraTable[Cash Date])&amp;CashIntraTable[Detail]</f>
        <v>SCBNKY225433842.1. Redemption</v>
      </c>
    </row>
    <row r="498" spans="1:9" x14ac:dyDescent="0.2">
      <c r="A498" t="s">
        <v>505</v>
      </c>
      <c r="B498" t="s">
        <v>23</v>
      </c>
      <c r="C498" s="50">
        <v>43385</v>
      </c>
      <c r="D498" t="s">
        <v>446</v>
      </c>
      <c r="E498">
        <v>-1612323.26</v>
      </c>
      <c r="F498" t="s">
        <v>379</v>
      </c>
      <c r="G498" t="s">
        <v>447</v>
      </c>
      <c r="H498">
        <v>181009160103</v>
      </c>
      <c r="I498" t="str">
        <f>CashIntraTable[Portfolio]&amp;VALUE(CashIntraTable[Cash Date])&amp;CashIntraTable[Detail]</f>
        <v>SCBNKY225433852.1. Redemption</v>
      </c>
    </row>
    <row r="499" spans="1:9" x14ac:dyDescent="0.2">
      <c r="A499" t="s">
        <v>505</v>
      </c>
      <c r="B499" t="s">
        <v>23</v>
      </c>
      <c r="C499" s="50">
        <v>43382</v>
      </c>
      <c r="D499" t="s">
        <v>446</v>
      </c>
      <c r="E499">
        <v>-8200435.54</v>
      </c>
      <c r="F499" t="s">
        <v>380</v>
      </c>
      <c r="G499" t="s">
        <v>447</v>
      </c>
      <c r="H499">
        <v>181009160103</v>
      </c>
      <c r="I499" t="str">
        <f>CashIntraTable[Portfolio]&amp;VALUE(CashIntraTable[Cash Date])&amp;CashIntraTable[Detail]</f>
        <v>SCBNKY225433822.2. Switch-out</v>
      </c>
    </row>
    <row r="500" spans="1:9" x14ac:dyDescent="0.2">
      <c r="A500" t="s">
        <v>505</v>
      </c>
      <c r="B500" t="s">
        <v>23</v>
      </c>
      <c r="C500" s="50">
        <v>43383</v>
      </c>
      <c r="D500" t="s">
        <v>446</v>
      </c>
      <c r="E500">
        <v>-3017232.46</v>
      </c>
      <c r="F500" t="s">
        <v>380</v>
      </c>
      <c r="G500" t="s">
        <v>447</v>
      </c>
      <c r="H500">
        <v>181009160103</v>
      </c>
      <c r="I500" t="str">
        <f>CashIntraTable[Portfolio]&amp;VALUE(CashIntraTable[Cash Date])&amp;CashIntraTable[Detail]</f>
        <v>SCBNKY225433832.2. Switch-out</v>
      </c>
    </row>
    <row r="501" spans="1:9" x14ac:dyDescent="0.2">
      <c r="A501" t="s">
        <v>505</v>
      </c>
      <c r="B501" t="s">
        <v>23</v>
      </c>
      <c r="C501" s="50">
        <v>43384</v>
      </c>
      <c r="D501" t="s">
        <v>446</v>
      </c>
      <c r="E501">
        <v>-185077.15</v>
      </c>
      <c r="F501" t="s">
        <v>380</v>
      </c>
      <c r="G501" t="s">
        <v>447</v>
      </c>
      <c r="H501">
        <v>181009160103</v>
      </c>
      <c r="I501" t="str">
        <f>CashIntraTable[Portfolio]&amp;VALUE(CashIntraTable[Cash Date])&amp;CashIntraTable[Detail]</f>
        <v>SCBNKY225433842.2. Switch-out</v>
      </c>
    </row>
    <row r="502" spans="1:9" x14ac:dyDescent="0.2">
      <c r="A502" t="s">
        <v>505</v>
      </c>
      <c r="B502" t="s">
        <v>23</v>
      </c>
      <c r="C502" s="50">
        <v>43385</v>
      </c>
      <c r="D502" t="s">
        <v>446</v>
      </c>
      <c r="E502">
        <v>-6303888.9800000004</v>
      </c>
      <c r="F502" t="s">
        <v>380</v>
      </c>
      <c r="G502" t="s">
        <v>447</v>
      </c>
      <c r="H502">
        <v>181009160103</v>
      </c>
      <c r="I502" t="str">
        <f>CashIntraTable[Portfolio]&amp;VALUE(CashIntraTable[Cash Date])&amp;CashIntraTable[Detail]</f>
        <v>SCBNKY225433852.2. Switch-out</v>
      </c>
    </row>
    <row r="503" spans="1:9" x14ac:dyDescent="0.2">
      <c r="A503" t="s">
        <v>506</v>
      </c>
      <c r="B503" t="s">
        <v>23</v>
      </c>
      <c r="C503" s="50">
        <v>43383</v>
      </c>
      <c r="D503" t="s">
        <v>446</v>
      </c>
      <c r="E503">
        <v>510500</v>
      </c>
      <c r="F503" t="s">
        <v>377</v>
      </c>
      <c r="G503" t="s">
        <v>447</v>
      </c>
      <c r="H503">
        <v>181009160103</v>
      </c>
      <c r="I503" t="str">
        <f>CashIntraTable[Portfolio]&amp;VALUE(CashIntraTable[Cash Date])&amp;CashIntraTable[Detail]</f>
        <v>SCBOILFUND433831.1. Subscription</v>
      </c>
    </row>
    <row r="504" spans="1:9" x14ac:dyDescent="0.2">
      <c r="A504" t="s">
        <v>506</v>
      </c>
      <c r="B504" t="s">
        <v>23</v>
      </c>
      <c r="C504" s="50">
        <v>43382</v>
      </c>
      <c r="D504" t="s">
        <v>446</v>
      </c>
      <c r="E504">
        <v>24849.42</v>
      </c>
      <c r="F504" t="s">
        <v>378</v>
      </c>
      <c r="G504" t="s">
        <v>447</v>
      </c>
      <c r="H504">
        <v>181009160103</v>
      </c>
      <c r="I504" t="str">
        <f>CashIntraTable[Portfolio]&amp;VALUE(CashIntraTable[Cash Date])&amp;CashIntraTable[Detail]</f>
        <v>SCBOILFUND433821.2. Switch-in</v>
      </c>
    </row>
    <row r="505" spans="1:9" x14ac:dyDescent="0.2">
      <c r="A505" t="s">
        <v>506</v>
      </c>
      <c r="B505" t="s">
        <v>23</v>
      </c>
      <c r="C505" s="50">
        <v>43383</v>
      </c>
      <c r="D505" t="s">
        <v>446</v>
      </c>
      <c r="E505">
        <v>1501718.85</v>
      </c>
      <c r="F505" t="s">
        <v>378</v>
      </c>
      <c r="G505" t="s">
        <v>447</v>
      </c>
      <c r="H505">
        <v>181009160103</v>
      </c>
      <c r="I505" t="str">
        <f>CashIntraTable[Portfolio]&amp;VALUE(CashIntraTable[Cash Date])&amp;CashIntraTable[Detail]</f>
        <v>SCBOILFUND433831.2. Switch-in</v>
      </c>
    </row>
    <row r="506" spans="1:9" x14ac:dyDescent="0.2">
      <c r="A506" t="s">
        <v>506</v>
      </c>
      <c r="B506" t="s">
        <v>23</v>
      </c>
      <c r="C506" s="50">
        <v>43384</v>
      </c>
      <c r="D506" t="s">
        <v>446</v>
      </c>
      <c r="E506">
        <v>1139925.48</v>
      </c>
      <c r="F506" t="s">
        <v>378</v>
      </c>
      <c r="G506" t="s">
        <v>447</v>
      </c>
      <c r="H506">
        <v>181009160103</v>
      </c>
      <c r="I506" t="str">
        <f>CashIntraTable[Portfolio]&amp;VALUE(CashIntraTable[Cash Date])&amp;CashIntraTable[Detail]</f>
        <v>SCBOILFUND433841.2. Switch-in</v>
      </c>
    </row>
    <row r="507" spans="1:9" x14ac:dyDescent="0.2">
      <c r="A507" t="s">
        <v>506</v>
      </c>
      <c r="B507" t="s">
        <v>23</v>
      </c>
      <c r="C507" s="50">
        <v>43389</v>
      </c>
      <c r="D507" t="s">
        <v>446</v>
      </c>
      <c r="E507">
        <v>86704.08</v>
      </c>
      <c r="F507" t="s">
        <v>378</v>
      </c>
      <c r="G507" t="s">
        <v>447</v>
      </c>
      <c r="H507">
        <v>181009160103</v>
      </c>
      <c r="I507" t="str">
        <f>CashIntraTable[Portfolio]&amp;VALUE(CashIntraTable[Cash Date])&amp;CashIntraTable[Detail]</f>
        <v>SCBOILFUND433891.2. Switch-in</v>
      </c>
    </row>
    <row r="508" spans="1:9" x14ac:dyDescent="0.2">
      <c r="A508" t="s">
        <v>506</v>
      </c>
      <c r="B508" t="s">
        <v>23</v>
      </c>
      <c r="C508" s="50">
        <v>43382</v>
      </c>
      <c r="D508" t="s">
        <v>446</v>
      </c>
      <c r="E508">
        <v>-1783860.24</v>
      </c>
      <c r="F508" t="s">
        <v>379</v>
      </c>
      <c r="G508" t="s">
        <v>447</v>
      </c>
      <c r="H508">
        <v>181009160103</v>
      </c>
      <c r="I508" t="str">
        <f>CashIntraTable[Portfolio]&amp;VALUE(CashIntraTable[Cash Date])&amp;CashIntraTable[Detail]</f>
        <v>SCBOILFUND433822.1. Redemption</v>
      </c>
    </row>
    <row r="509" spans="1:9" x14ac:dyDescent="0.2">
      <c r="A509" t="s">
        <v>506</v>
      </c>
      <c r="B509" t="s">
        <v>23</v>
      </c>
      <c r="C509" s="50">
        <v>43383</v>
      </c>
      <c r="D509" t="s">
        <v>446</v>
      </c>
      <c r="E509">
        <v>-1179156.92</v>
      </c>
      <c r="F509" t="s">
        <v>379</v>
      </c>
      <c r="G509" t="s">
        <v>447</v>
      </c>
      <c r="H509">
        <v>181009160103</v>
      </c>
      <c r="I509" t="str">
        <f>CashIntraTable[Portfolio]&amp;VALUE(CashIntraTable[Cash Date])&amp;CashIntraTable[Detail]</f>
        <v>SCBOILFUND433832.1. Redemption</v>
      </c>
    </row>
    <row r="510" spans="1:9" x14ac:dyDescent="0.2">
      <c r="A510" t="s">
        <v>506</v>
      </c>
      <c r="B510" t="s">
        <v>23</v>
      </c>
      <c r="C510" s="50">
        <v>43384</v>
      </c>
      <c r="D510" t="s">
        <v>446</v>
      </c>
      <c r="E510">
        <v>-481134.21</v>
      </c>
      <c r="F510" t="s">
        <v>379</v>
      </c>
      <c r="G510" t="s">
        <v>447</v>
      </c>
      <c r="H510">
        <v>181009160103</v>
      </c>
      <c r="I510" t="str">
        <f>CashIntraTable[Portfolio]&amp;VALUE(CashIntraTable[Cash Date])&amp;CashIntraTable[Detail]</f>
        <v>SCBOILFUND433842.1. Redemption</v>
      </c>
    </row>
    <row r="511" spans="1:9" x14ac:dyDescent="0.2">
      <c r="A511" t="s">
        <v>506</v>
      </c>
      <c r="B511" t="s">
        <v>23</v>
      </c>
      <c r="C511" s="50">
        <v>43385</v>
      </c>
      <c r="D511" t="s">
        <v>446</v>
      </c>
      <c r="E511">
        <v>-1633620.09</v>
      </c>
      <c r="F511" t="s">
        <v>379</v>
      </c>
      <c r="G511" t="s">
        <v>447</v>
      </c>
      <c r="H511">
        <v>181009160103</v>
      </c>
      <c r="I511" t="str">
        <f>CashIntraTable[Portfolio]&amp;VALUE(CashIntraTable[Cash Date])&amp;CashIntraTable[Detail]</f>
        <v>SCBOILFUND433852.1. Redemption</v>
      </c>
    </row>
    <row r="512" spans="1:9" x14ac:dyDescent="0.2">
      <c r="A512" t="s">
        <v>506</v>
      </c>
      <c r="B512" t="s">
        <v>23</v>
      </c>
      <c r="C512" s="50">
        <v>43382</v>
      </c>
      <c r="D512" t="s">
        <v>446</v>
      </c>
      <c r="E512">
        <v>-513746.44</v>
      </c>
      <c r="F512" t="s">
        <v>380</v>
      </c>
      <c r="G512" t="s">
        <v>447</v>
      </c>
      <c r="H512">
        <v>181009160103</v>
      </c>
      <c r="I512" t="str">
        <f>CashIntraTable[Portfolio]&amp;VALUE(CashIntraTable[Cash Date])&amp;CashIntraTable[Detail]</f>
        <v>SCBOILFUND433822.2. Switch-out</v>
      </c>
    </row>
    <row r="513" spans="1:9" x14ac:dyDescent="0.2">
      <c r="A513" t="s">
        <v>506</v>
      </c>
      <c r="B513" t="s">
        <v>23</v>
      </c>
      <c r="C513" s="50">
        <v>43383</v>
      </c>
      <c r="D513" t="s">
        <v>446</v>
      </c>
      <c r="E513">
        <v>-27506.67</v>
      </c>
      <c r="F513" t="s">
        <v>380</v>
      </c>
      <c r="G513" t="s">
        <v>447</v>
      </c>
      <c r="H513">
        <v>181009160103</v>
      </c>
      <c r="I513" t="str">
        <f>CashIntraTable[Portfolio]&amp;VALUE(CashIntraTable[Cash Date])&amp;CashIntraTable[Detail]</f>
        <v>SCBOILFUND433832.2. Switch-out</v>
      </c>
    </row>
    <row r="514" spans="1:9" x14ac:dyDescent="0.2">
      <c r="A514" t="s">
        <v>506</v>
      </c>
      <c r="B514" t="s">
        <v>23</v>
      </c>
      <c r="C514" s="50">
        <v>43384</v>
      </c>
      <c r="D514" t="s">
        <v>446</v>
      </c>
      <c r="E514">
        <v>-1430584.3200000001</v>
      </c>
      <c r="F514" t="s">
        <v>380</v>
      </c>
      <c r="G514" t="s">
        <v>447</v>
      </c>
      <c r="H514">
        <v>181009160103</v>
      </c>
      <c r="I514" t="str">
        <f>CashIntraTable[Portfolio]&amp;VALUE(CashIntraTable[Cash Date])&amp;CashIntraTable[Detail]</f>
        <v>SCBOILFUND433842.2. Switch-out</v>
      </c>
    </row>
    <row r="515" spans="1:9" x14ac:dyDescent="0.2">
      <c r="A515" t="s">
        <v>506</v>
      </c>
      <c r="B515" t="s">
        <v>23</v>
      </c>
      <c r="C515" s="50">
        <v>43385</v>
      </c>
      <c r="D515" t="s">
        <v>446</v>
      </c>
      <c r="E515">
        <v>-55981.18</v>
      </c>
      <c r="F515" t="s">
        <v>380</v>
      </c>
      <c r="G515" t="s">
        <v>447</v>
      </c>
      <c r="H515">
        <v>181009160103</v>
      </c>
      <c r="I515" t="str">
        <f>CashIntraTable[Portfolio]&amp;VALUE(CashIntraTable[Cash Date])&amp;CashIntraTable[Detail]</f>
        <v>SCBOILFUND433852.2. Switch-out</v>
      </c>
    </row>
    <row r="516" spans="1:9" x14ac:dyDescent="0.2">
      <c r="A516" t="s">
        <v>507</v>
      </c>
      <c r="B516" t="s">
        <v>23</v>
      </c>
      <c r="C516" s="50">
        <v>43383</v>
      </c>
      <c r="D516" t="s">
        <v>446</v>
      </c>
      <c r="E516">
        <v>939000</v>
      </c>
      <c r="F516" t="s">
        <v>377</v>
      </c>
      <c r="G516" t="s">
        <v>447</v>
      </c>
      <c r="H516">
        <v>181009160103</v>
      </c>
      <c r="I516" t="str">
        <f>CashIntraTable[Portfolio]&amp;VALUE(CashIntraTable[Cash Date])&amp;CashIntraTable[Detail]</f>
        <v>SCBOPP433831.1. Subscription</v>
      </c>
    </row>
    <row r="517" spans="1:9" x14ac:dyDescent="0.2">
      <c r="A517" t="s">
        <v>507</v>
      </c>
      <c r="B517" t="s">
        <v>23</v>
      </c>
      <c r="C517" s="50">
        <v>43383</v>
      </c>
      <c r="D517" t="s">
        <v>446</v>
      </c>
      <c r="E517">
        <v>50000</v>
      </c>
      <c r="F517" t="s">
        <v>378</v>
      </c>
      <c r="G517" t="s">
        <v>447</v>
      </c>
      <c r="H517">
        <v>181009160103</v>
      </c>
      <c r="I517" t="str">
        <f>CashIntraTable[Portfolio]&amp;VALUE(CashIntraTable[Cash Date])&amp;CashIntraTable[Detail]</f>
        <v>SCBOPP433831.2. Switch-in</v>
      </c>
    </row>
    <row r="518" spans="1:9" x14ac:dyDescent="0.2">
      <c r="A518" t="s">
        <v>507</v>
      </c>
      <c r="B518" t="s">
        <v>23</v>
      </c>
      <c r="C518" s="50">
        <v>43382</v>
      </c>
      <c r="D518" t="s">
        <v>446</v>
      </c>
      <c r="E518">
        <v>-503959.85</v>
      </c>
      <c r="F518" t="s">
        <v>379</v>
      </c>
      <c r="G518" t="s">
        <v>447</v>
      </c>
      <c r="H518">
        <v>181009160103</v>
      </c>
      <c r="I518" t="str">
        <f>CashIntraTable[Portfolio]&amp;VALUE(CashIntraTable[Cash Date])&amp;CashIntraTable[Detail]</f>
        <v>SCBOPP433822.1. Redemption</v>
      </c>
    </row>
    <row r="519" spans="1:9" x14ac:dyDescent="0.2">
      <c r="A519" t="s">
        <v>507</v>
      </c>
      <c r="B519" t="s">
        <v>23</v>
      </c>
      <c r="C519" s="50">
        <v>43385</v>
      </c>
      <c r="D519" t="s">
        <v>446</v>
      </c>
      <c r="E519">
        <v>-1187241.82</v>
      </c>
      <c r="F519" t="s">
        <v>379</v>
      </c>
      <c r="G519" t="s">
        <v>447</v>
      </c>
      <c r="H519">
        <v>181009160103</v>
      </c>
      <c r="I519" t="str">
        <f>CashIntraTable[Portfolio]&amp;VALUE(CashIntraTable[Cash Date])&amp;CashIntraTable[Detail]</f>
        <v>SCBOPP433852.1. Redemption</v>
      </c>
    </row>
    <row r="520" spans="1:9" x14ac:dyDescent="0.2">
      <c r="A520" t="s">
        <v>507</v>
      </c>
      <c r="B520" t="s">
        <v>23</v>
      </c>
      <c r="C520" s="50">
        <v>43389</v>
      </c>
      <c r="D520" t="s">
        <v>446</v>
      </c>
      <c r="E520">
        <v>-947731.42</v>
      </c>
      <c r="F520" t="s">
        <v>379</v>
      </c>
      <c r="G520" t="s">
        <v>447</v>
      </c>
      <c r="H520">
        <v>181009160103</v>
      </c>
      <c r="I520" t="str">
        <f>CashIntraTable[Portfolio]&amp;VALUE(CashIntraTable[Cash Date])&amp;CashIntraTable[Detail]</f>
        <v>SCBOPP433892.1. Redemption</v>
      </c>
    </row>
    <row r="521" spans="1:9" x14ac:dyDescent="0.2">
      <c r="A521" t="s">
        <v>507</v>
      </c>
      <c r="B521" t="s">
        <v>23</v>
      </c>
      <c r="C521" s="50">
        <v>43382</v>
      </c>
      <c r="D521" t="s">
        <v>446</v>
      </c>
      <c r="E521">
        <v>-455053.61</v>
      </c>
      <c r="F521" t="s">
        <v>380</v>
      </c>
      <c r="G521" t="s">
        <v>447</v>
      </c>
      <c r="H521">
        <v>181009160103</v>
      </c>
      <c r="I521" t="str">
        <f>CashIntraTable[Portfolio]&amp;VALUE(CashIntraTable[Cash Date])&amp;CashIntraTable[Detail]</f>
        <v>SCBOPP433822.2. Switch-out</v>
      </c>
    </row>
    <row r="522" spans="1:9" x14ac:dyDescent="0.2">
      <c r="A522" t="s">
        <v>507</v>
      </c>
      <c r="B522" t="s">
        <v>23</v>
      </c>
      <c r="C522" s="50">
        <v>43384</v>
      </c>
      <c r="D522" t="s">
        <v>446</v>
      </c>
      <c r="E522">
        <v>-1338283.24</v>
      </c>
      <c r="F522" t="s">
        <v>380</v>
      </c>
      <c r="G522" t="s">
        <v>447</v>
      </c>
      <c r="H522">
        <v>181009160103</v>
      </c>
      <c r="I522" t="str">
        <f>CashIntraTable[Portfolio]&amp;VALUE(CashIntraTable[Cash Date])&amp;CashIntraTable[Detail]</f>
        <v>SCBOPP433842.2. Switch-out</v>
      </c>
    </row>
    <row r="523" spans="1:9" x14ac:dyDescent="0.2">
      <c r="A523" t="s">
        <v>507</v>
      </c>
      <c r="B523" t="s">
        <v>23</v>
      </c>
      <c r="C523" s="50">
        <v>43385</v>
      </c>
      <c r="D523" t="s">
        <v>446</v>
      </c>
      <c r="E523">
        <v>-200000</v>
      </c>
      <c r="F523" t="s">
        <v>380</v>
      </c>
      <c r="G523" t="s">
        <v>447</v>
      </c>
      <c r="H523">
        <v>181009160103</v>
      </c>
      <c r="I523" t="str">
        <f>CashIntraTable[Portfolio]&amp;VALUE(CashIntraTable[Cash Date])&amp;CashIntraTable[Detail]</f>
        <v>SCBOPP433852.2. Switch-out</v>
      </c>
    </row>
    <row r="524" spans="1:9" x14ac:dyDescent="0.2">
      <c r="A524" t="s">
        <v>507</v>
      </c>
      <c r="B524" t="s">
        <v>23</v>
      </c>
      <c r="C524" s="50">
        <v>43389</v>
      </c>
      <c r="D524" t="s">
        <v>446</v>
      </c>
      <c r="E524">
        <v>-3563831.47</v>
      </c>
      <c r="F524" t="s">
        <v>380</v>
      </c>
      <c r="G524" t="s">
        <v>447</v>
      </c>
      <c r="H524">
        <v>181009160103</v>
      </c>
      <c r="I524" t="str">
        <f>CashIntraTable[Portfolio]&amp;VALUE(CashIntraTable[Cash Date])&amp;CashIntraTable[Detail]</f>
        <v>SCBOPP433892.2. Switch-out</v>
      </c>
    </row>
    <row r="525" spans="1:9" x14ac:dyDescent="0.2">
      <c r="A525" t="s">
        <v>508</v>
      </c>
      <c r="B525" t="s">
        <v>23</v>
      </c>
      <c r="C525" s="50">
        <v>43382</v>
      </c>
      <c r="D525" t="s">
        <v>446</v>
      </c>
      <c r="E525">
        <v>-10004.629999999999</v>
      </c>
      <c r="F525" t="s">
        <v>379</v>
      </c>
      <c r="G525" t="s">
        <v>447</v>
      </c>
      <c r="H525">
        <v>181009160103</v>
      </c>
      <c r="I525" t="str">
        <f>CashIntraTable[Portfolio]&amp;VALUE(CashIntraTable[Cash Date])&amp;CashIntraTable[Detail]</f>
        <v>SCBPGF433822.1. Redemption</v>
      </c>
    </row>
    <row r="526" spans="1:9" x14ac:dyDescent="0.2">
      <c r="A526" t="s">
        <v>508</v>
      </c>
      <c r="B526" t="s">
        <v>23</v>
      </c>
      <c r="C526" s="50">
        <v>43385</v>
      </c>
      <c r="D526" t="s">
        <v>446</v>
      </c>
      <c r="E526">
        <v>-44465.08</v>
      </c>
      <c r="F526" t="s">
        <v>379</v>
      </c>
      <c r="G526" t="s">
        <v>447</v>
      </c>
      <c r="H526">
        <v>181009160103</v>
      </c>
      <c r="I526" t="str">
        <f>CashIntraTable[Portfolio]&amp;VALUE(CashIntraTable[Cash Date])&amp;CashIntraTable[Detail]</f>
        <v>SCBPGF433852.1. Redemption</v>
      </c>
    </row>
    <row r="527" spans="1:9" x14ac:dyDescent="0.2">
      <c r="A527" t="s">
        <v>508</v>
      </c>
      <c r="B527" t="s">
        <v>23</v>
      </c>
      <c r="C527" s="50">
        <v>43389</v>
      </c>
      <c r="D527" t="s">
        <v>446</v>
      </c>
      <c r="E527">
        <v>-985.7</v>
      </c>
      <c r="F527" t="s">
        <v>379</v>
      </c>
      <c r="G527" t="s">
        <v>447</v>
      </c>
      <c r="H527">
        <v>181009160103</v>
      </c>
      <c r="I527" t="str">
        <f>CashIntraTable[Portfolio]&amp;VALUE(CashIntraTable[Cash Date])&amp;CashIntraTable[Detail]</f>
        <v>SCBPGF433892.1. Redemption</v>
      </c>
    </row>
    <row r="528" spans="1:9" x14ac:dyDescent="0.2">
      <c r="A528" t="s">
        <v>509</v>
      </c>
      <c r="B528" t="s">
        <v>23</v>
      </c>
      <c r="C528" s="50">
        <v>43382</v>
      </c>
      <c r="D528" t="s">
        <v>446</v>
      </c>
      <c r="E528">
        <v>148168.07</v>
      </c>
      <c r="F528" t="s">
        <v>377</v>
      </c>
      <c r="G528" t="s">
        <v>447</v>
      </c>
      <c r="H528">
        <v>181009160103</v>
      </c>
      <c r="I528" t="str">
        <f>CashIntraTable[Portfolio]&amp;VALUE(CashIntraTable[Cash Date])&amp;CashIntraTable[Detail]</f>
        <v>SCBPIN433821.1. Subscription</v>
      </c>
    </row>
    <row r="529" spans="1:9" x14ac:dyDescent="0.2">
      <c r="A529" t="s">
        <v>509</v>
      </c>
      <c r="B529" t="s">
        <v>23</v>
      </c>
      <c r="C529" s="50">
        <v>43383</v>
      </c>
      <c r="D529" t="s">
        <v>446</v>
      </c>
      <c r="E529">
        <v>10027500</v>
      </c>
      <c r="F529" t="s">
        <v>377</v>
      </c>
      <c r="G529" t="s">
        <v>447</v>
      </c>
      <c r="H529">
        <v>181009160103</v>
      </c>
      <c r="I529" t="str">
        <f>CashIntraTable[Portfolio]&amp;VALUE(CashIntraTable[Cash Date])&amp;CashIntraTable[Detail]</f>
        <v>SCBPIN433831.1. Subscription</v>
      </c>
    </row>
    <row r="530" spans="1:9" x14ac:dyDescent="0.2">
      <c r="A530" t="s">
        <v>509</v>
      </c>
      <c r="B530" t="s">
        <v>23</v>
      </c>
      <c r="C530" s="50">
        <v>43382</v>
      </c>
      <c r="D530" t="s">
        <v>446</v>
      </c>
      <c r="E530">
        <v>10230000</v>
      </c>
      <c r="F530" t="s">
        <v>378</v>
      </c>
      <c r="G530" t="s">
        <v>447</v>
      </c>
      <c r="H530">
        <v>181009160103</v>
      </c>
      <c r="I530" t="str">
        <f>CashIntraTable[Portfolio]&amp;VALUE(CashIntraTable[Cash Date])&amp;CashIntraTable[Detail]</f>
        <v>SCBPIN433821.2. Switch-in</v>
      </c>
    </row>
    <row r="531" spans="1:9" x14ac:dyDescent="0.2">
      <c r="A531" t="s">
        <v>509</v>
      </c>
      <c r="B531" t="s">
        <v>23</v>
      </c>
      <c r="C531" s="50">
        <v>43383</v>
      </c>
      <c r="D531" t="s">
        <v>446</v>
      </c>
      <c r="E531">
        <v>5355000</v>
      </c>
      <c r="F531" t="s">
        <v>378</v>
      </c>
      <c r="G531" t="s">
        <v>447</v>
      </c>
      <c r="H531">
        <v>181009160103</v>
      </c>
      <c r="I531" t="str">
        <f>CashIntraTable[Portfolio]&amp;VALUE(CashIntraTable[Cash Date])&amp;CashIntraTable[Detail]</f>
        <v>SCBPIN433831.2. Switch-in</v>
      </c>
    </row>
    <row r="532" spans="1:9" x14ac:dyDescent="0.2">
      <c r="A532" t="s">
        <v>509</v>
      </c>
      <c r="B532" t="s">
        <v>23</v>
      </c>
      <c r="C532" s="50">
        <v>43384</v>
      </c>
      <c r="D532" t="s">
        <v>446</v>
      </c>
      <c r="E532">
        <v>500000</v>
      </c>
      <c r="F532" t="s">
        <v>378</v>
      </c>
      <c r="G532" t="s">
        <v>447</v>
      </c>
      <c r="H532">
        <v>181009160103</v>
      </c>
      <c r="I532" t="str">
        <f>CashIntraTable[Portfolio]&amp;VALUE(CashIntraTable[Cash Date])&amp;CashIntraTable[Detail]</f>
        <v>SCBPIN433841.2. Switch-in</v>
      </c>
    </row>
    <row r="533" spans="1:9" x14ac:dyDescent="0.2">
      <c r="A533" t="s">
        <v>509</v>
      </c>
      <c r="B533" t="s">
        <v>23</v>
      </c>
      <c r="C533" s="50">
        <v>43382</v>
      </c>
      <c r="D533" t="s">
        <v>446</v>
      </c>
      <c r="E533">
        <v>-70650.02</v>
      </c>
      <c r="F533" t="s">
        <v>379</v>
      </c>
      <c r="G533" t="s">
        <v>447</v>
      </c>
      <c r="H533">
        <v>181009160103</v>
      </c>
      <c r="I533" t="str">
        <f>CashIntraTable[Portfolio]&amp;VALUE(CashIntraTable[Cash Date])&amp;CashIntraTable[Detail]</f>
        <v>SCBPIN433822.1. Redemption</v>
      </c>
    </row>
    <row r="534" spans="1:9" x14ac:dyDescent="0.2">
      <c r="A534" t="s">
        <v>509</v>
      </c>
      <c r="B534" t="s">
        <v>23</v>
      </c>
      <c r="C534" s="50">
        <v>43384</v>
      </c>
      <c r="D534" t="s">
        <v>446</v>
      </c>
      <c r="E534">
        <v>-1994629.83</v>
      </c>
      <c r="F534" t="s">
        <v>379</v>
      </c>
      <c r="G534" t="s">
        <v>447</v>
      </c>
      <c r="H534">
        <v>181009160103</v>
      </c>
      <c r="I534" t="str">
        <f>CashIntraTable[Portfolio]&amp;VALUE(CashIntraTable[Cash Date])&amp;CashIntraTable[Detail]</f>
        <v>SCBPIN433842.1. Redemption</v>
      </c>
    </row>
    <row r="535" spans="1:9" x14ac:dyDescent="0.2">
      <c r="A535" t="s">
        <v>509</v>
      </c>
      <c r="B535" t="s">
        <v>23</v>
      </c>
      <c r="C535" s="50">
        <v>43385</v>
      </c>
      <c r="D535" t="s">
        <v>446</v>
      </c>
      <c r="E535">
        <v>-10000</v>
      </c>
      <c r="F535" t="s">
        <v>379</v>
      </c>
      <c r="G535" t="s">
        <v>447</v>
      </c>
      <c r="H535">
        <v>181009160103</v>
      </c>
      <c r="I535" t="str">
        <f>CashIntraTable[Portfolio]&amp;VALUE(CashIntraTable[Cash Date])&amp;CashIntraTable[Detail]</f>
        <v>SCBPIN433852.1. Redemption</v>
      </c>
    </row>
    <row r="536" spans="1:9" x14ac:dyDescent="0.2">
      <c r="A536" t="s">
        <v>509</v>
      </c>
      <c r="B536" t="s">
        <v>23</v>
      </c>
      <c r="C536" s="50">
        <v>43382</v>
      </c>
      <c r="D536" t="s">
        <v>446</v>
      </c>
      <c r="E536">
        <v>-1005928.3</v>
      </c>
      <c r="F536" t="s">
        <v>380</v>
      </c>
      <c r="G536" t="s">
        <v>447</v>
      </c>
      <c r="H536">
        <v>181009160103</v>
      </c>
      <c r="I536" t="str">
        <f>CashIntraTable[Portfolio]&amp;VALUE(CashIntraTable[Cash Date])&amp;CashIntraTable[Detail]</f>
        <v>SCBPIN433822.2. Switch-out</v>
      </c>
    </row>
    <row r="537" spans="1:9" x14ac:dyDescent="0.2">
      <c r="A537" t="s">
        <v>509</v>
      </c>
      <c r="B537" t="s">
        <v>23</v>
      </c>
      <c r="C537" s="50">
        <v>43385</v>
      </c>
      <c r="D537" t="s">
        <v>446</v>
      </c>
      <c r="E537">
        <v>-50522.46</v>
      </c>
      <c r="F537" t="s">
        <v>380</v>
      </c>
      <c r="G537" t="s">
        <v>447</v>
      </c>
      <c r="H537">
        <v>181009160103</v>
      </c>
      <c r="I537" t="str">
        <f>CashIntraTable[Portfolio]&amp;VALUE(CashIntraTable[Cash Date])&amp;CashIntraTable[Detail]</f>
        <v>SCBPIN433852.2. Switch-out</v>
      </c>
    </row>
    <row r="538" spans="1:9" x14ac:dyDescent="0.2">
      <c r="A538" t="s">
        <v>509</v>
      </c>
      <c r="B538" t="s">
        <v>23</v>
      </c>
      <c r="C538" s="50">
        <v>43389</v>
      </c>
      <c r="D538" t="s">
        <v>446</v>
      </c>
      <c r="E538">
        <v>-504809.72</v>
      </c>
      <c r="F538" t="s">
        <v>380</v>
      </c>
      <c r="G538" t="s">
        <v>447</v>
      </c>
      <c r="H538">
        <v>181009160103</v>
      </c>
      <c r="I538" t="str">
        <f>CashIntraTable[Portfolio]&amp;VALUE(CashIntraTable[Cash Date])&amp;CashIntraTable[Detail]</f>
        <v>SCBPIN433892.2. Switch-out</v>
      </c>
    </row>
    <row r="539" spans="1:9" x14ac:dyDescent="0.2">
      <c r="A539" t="s">
        <v>384</v>
      </c>
      <c r="B539" t="s">
        <v>23</v>
      </c>
      <c r="C539" s="50">
        <v>43382</v>
      </c>
      <c r="D539" t="s">
        <v>446</v>
      </c>
      <c r="E539">
        <v>7065373.6500000004</v>
      </c>
      <c r="F539" t="s">
        <v>377</v>
      </c>
      <c r="G539" t="s">
        <v>447</v>
      </c>
      <c r="H539">
        <v>181009160103</v>
      </c>
      <c r="I539" t="str">
        <f>CashIntraTable[Portfolio]&amp;VALUE(CashIntraTable[Cash Date])&amp;CashIntraTable[Detail]</f>
        <v>SCBPLUS433821.1. Subscription</v>
      </c>
    </row>
    <row r="540" spans="1:9" x14ac:dyDescent="0.2">
      <c r="A540" t="s">
        <v>384</v>
      </c>
      <c r="B540" t="s">
        <v>23</v>
      </c>
      <c r="C540" s="50">
        <v>43383</v>
      </c>
      <c r="D540" t="s">
        <v>446</v>
      </c>
      <c r="E540">
        <v>10969000</v>
      </c>
      <c r="F540" t="s">
        <v>377</v>
      </c>
      <c r="G540" t="s">
        <v>447</v>
      </c>
      <c r="H540">
        <v>181009160103</v>
      </c>
      <c r="I540" t="str">
        <f>CashIntraTable[Portfolio]&amp;VALUE(CashIntraTable[Cash Date])&amp;CashIntraTable[Detail]</f>
        <v>SCBPLUS433831.1. Subscription</v>
      </c>
    </row>
    <row r="541" spans="1:9" x14ac:dyDescent="0.2">
      <c r="A541" t="s">
        <v>384</v>
      </c>
      <c r="B541" t="s">
        <v>23</v>
      </c>
      <c r="C541" s="50">
        <v>43382</v>
      </c>
      <c r="D541" t="s">
        <v>446</v>
      </c>
      <c r="E541">
        <v>63098822.479999997</v>
      </c>
      <c r="F541" t="s">
        <v>378</v>
      </c>
      <c r="G541" t="s">
        <v>447</v>
      </c>
      <c r="H541">
        <v>181009160103</v>
      </c>
      <c r="I541" t="str">
        <f>CashIntraTable[Portfolio]&amp;VALUE(CashIntraTable[Cash Date])&amp;CashIntraTable[Detail]</f>
        <v>SCBPLUS433821.2. Switch-in</v>
      </c>
    </row>
    <row r="542" spans="1:9" x14ac:dyDescent="0.2">
      <c r="A542" t="s">
        <v>384</v>
      </c>
      <c r="B542" t="s">
        <v>23</v>
      </c>
      <c r="C542" s="50">
        <v>43383</v>
      </c>
      <c r="D542" t="s">
        <v>446</v>
      </c>
      <c r="E542">
        <v>21258192.859999999</v>
      </c>
      <c r="F542" t="s">
        <v>378</v>
      </c>
      <c r="G542" t="s">
        <v>447</v>
      </c>
      <c r="H542">
        <v>181009160103</v>
      </c>
      <c r="I542" t="str">
        <f>CashIntraTable[Portfolio]&amp;VALUE(CashIntraTable[Cash Date])&amp;CashIntraTable[Detail]</f>
        <v>SCBPLUS433831.2. Switch-in</v>
      </c>
    </row>
    <row r="543" spans="1:9" x14ac:dyDescent="0.2">
      <c r="A543" t="s">
        <v>384</v>
      </c>
      <c r="B543" t="s">
        <v>23</v>
      </c>
      <c r="C543" s="50">
        <v>43384</v>
      </c>
      <c r="D543" t="s">
        <v>446</v>
      </c>
      <c r="E543">
        <v>8041169.1699999999</v>
      </c>
      <c r="F543" t="s">
        <v>378</v>
      </c>
      <c r="G543" t="s">
        <v>447</v>
      </c>
      <c r="H543">
        <v>181009160103</v>
      </c>
      <c r="I543" t="str">
        <f>CashIntraTable[Portfolio]&amp;VALUE(CashIntraTable[Cash Date])&amp;CashIntraTable[Detail]</f>
        <v>SCBPLUS433841.2. Switch-in</v>
      </c>
    </row>
    <row r="544" spans="1:9" x14ac:dyDescent="0.2">
      <c r="A544" t="s">
        <v>384</v>
      </c>
      <c r="B544" t="s">
        <v>23</v>
      </c>
      <c r="C544" s="50">
        <v>43385</v>
      </c>
      <c r="D544" t="s">
        <v>446</v>
      </c>
      <c r="E544">
        <v>200000</v>
      </c>
      <c r="F544" t="s">
        <v>378</v>
      </c>
      <c r="G544" t="s">
        <v>447</v>
      </c>
      <c r="H544">
        <v>181009160103</v>
      </c>
      <c r="I544" t="str">
        <f>CashIntraTable[Portfolio]&amp;VALUE(CashIntraTable[Cash Date])&amp;CashIntraTable[Detail]</f>
        <v>SCBPLUS433851.2. Switch-in</v>
      </c>
    </row>
    <row r="545" spans="1:9" x14ac:dyDescent="0.2">
      <c r="A545" t="s">
        <v>384</v>
      </c>
      <c r="B545" t="s">
        <v>23</v>
      </c>
      <c r="C545" s="50">
        <v>43389</v>
      </c>
      <c r="D545" t="s">
        <v>446</v>
      </c>
      <c r="E545">
        <v>2000000</v>
      </c>
      <c r="F545" t="s">
        <v>378</v>
      </c>
      <c r="G545" t="s">
        <v>447</v>
      </c>
      <c r="H545">
        <v>181009160103</v>
      </c>
      <c r="I545" t="str">
        <f>CashIntraTable[Portfolio]&amp;VALUE(CashIntraTable[Cash Date])&amp;CashIntraTable[Detail]</f>
        <v>SCBPLUS433891.2. Switch-in</v>
      </c>
    </row>
    <row r="546" spans="1:9" x14ac:dyDescent="0.2">
      <c r="A546" t="s">
        <v>510</v>
      </c>
      <c r="B546" t="s">
        <v>23</v>
      </c>
      <c r="C546" s="50">
        <v>43382</v>
      </c>
      <c r="D546" t="s">
        <v>446</v>
      </c>
      <c r="E546">
        <v>3031.75</v>
      </c>
      <c r="F546" t="s">
        <v>377</v>
      </c>
      <c r="G546" t="s">
        <v>447</v>
      </c>
      <c r="H546">
        <v>181009160103</v>
      </c>
      <c r="I546" t="str">
        <f>CashIntraTable[Portfolio]&amp;VALUE(CashIntraTable[Cash Date])&amp;CashIntraTable[Detail]</f>
        <v>SCBPMOFUND433821.1. Subscription</v>
      </c>
    </row>
    <row r="547" spans="1:9" x14ac:dyDescent="0.2">
      <c r="A547" t="s">
        <v>510</v>
      </c>
      <c r="B547" t="s">
        <v>23</v>
      </c>
      <c r="C547" s="50">
        <v>43383</v>
      </c>
      <c r="D547" t="s">
        <v>446</v>
      </c>
      <c r="E547">
        <v>25000</v>
      </c>
      <c r="F547" t="s">
        <v>377</v>
      </c>
      <c r="G547" t="s">
        <v>447</v>
      </c>
      <c r="H547">
        <v>181009160103</v>
      </c>
      <c r="I547" t="str">
        <f>CashIntraTable[Portfolio]&amp;VALUE(CashIntraTable[Cash Date])&amp;CashIntraTable[Detail]</f>
        <v>SCBPMOFUND433831.1. Subscription</v>
      </c>
    </row>
    <row r="548" spans="1:9" x14ac:dyDescent="0.2">
      <c r="A548" t="s">
        <v>510</v>
      </c>
      <c r="B548" t="s">
        <v>23</v>
      </c>
      <c r="C548" s="50">
        <v>43383</v>
      </c>
      <c r="D548" t="s">
        <v>446</v>
      </c>
      <c r="E548">
        <v>60000</v>
      </c>
      <c r="F548" t="s">
        <v>378</v>
      </c>
      <c r="G548" t="s">
        <v>447</v>
      </c>
      <c r="H548">
        <v>181009160103</v>
      </c>
      <c r="I548" t="str">
        <f>CashIntraTable[Portfolio]&amp;VALUE(CashIntraTable[Cash Date])&amp;CashIntraTable[Detail]</f>
        <v>SCBPMOFUND433831.2. Switch-in</v>
      </c>
    </row>
    <row r="549" spans="1:9" x14ac:dyDescent="0.2">
      <c r="A549" t="s">
        <v>510</v>
      </c>
      <c r="B549" t="s">
        <v>23</v>
      </c>
      <c r="C549" s="50">
        <v>43385</v>
      </c>
      <c r="D549" t="s">
        <v>446</v>
      </c>
      <c r="E549">
        <v>948.58</v>
      </c>
      <c r="F549" t="s">
        <v>378</v>
      </c>
      <c r="G549" t="s">
        <v>447</v>
      </c>
      <c r="H549">
        <v>181009160103</v>
      </c>
      <c r="I549" t="str">
        <f>CashIntraTable[Portfolio]&amp;VALUE(CashIntraTable[Cash Date])&amp;CashIntraTable[Detail]</f>
        <v>SCBPMOFUND433851.2. Switch-in</v>
      </c>
    </row>
    <row r="550" spans="1:9" x14ac:dyDescent="0.2">
      <c r="A550" t="s">
        <v>510</v>
      </c>
      <c r="B550" t="s">
        <v>23</v>
      </c>
      <c r="C550" s="50">
        <v>43383</v>
      </c>
      <c r="D550" t="s">
        <v>446</v>
      </c>
      <c r="E550">
        <v>-5358.7</v>
      </c>
      <c r="F550" t="s">
        <v>379</v>
      </c>
      <c r="G550" t="s">
        <v>447</v>
      </c>
      <c r="H550">
        <v>181009160103</v>
      </c>
      <c r="I550" t="str">
        <f>CashIntraTable[Portfolio]&amp;VALUE(CashIntraTable[Cash Date])&amp;CashIntraTable[Detail]</f>
        <v>SCBPMOFUND433832.1. Redemption</v>
      </c>
    </row>
    <row r="551" spans="1:9" x14ac:dyDescent="0.2">
      <c r="A551" t="s">
        <v>510</v>
      </c>
      <c r="B551" t="s">
        <v>23</v>
      </c>
      <c r="C551" s="50">
        <v>43384</v>
      </c>
      <c r="D551" t="s">
        <v>446</v>
      </c>
      <c r="E551">
        <v>-908.21</v>
      </c>
      <c r="F551" t="s">
        <v>380</v>
      </c>
      <c r="G551" t="s">
        <v>447</v>
      </c>
      <c r="H551">
        <v>181009160103</v>
      </c>
      <c r="I551" t="str">
        <f>CashIntraTable[Portfolio]&amp;VALUE(CashIntraTable[Cash Date])&amp;CashIntraTable[Detail]</f>
        <v>SCBPMOFUND433842.2. Switch-out</v>
      </c>
    </row>
    <row r="552" spans="1:9" x14ac:dyDescent="0.2">
      <c r="A552" t="s">
        <v>511</v>
      </c>
      <c r="B552" t="s">
        <v>23</v>
      </c>
      <c r="C552" s="50">
        <v>43383</v>
      </c>
      <c r="D552" t="s">
        <v>446</v>
      </c>
      <c r="E552">
        <v>168000</v>
      </c>
      <c r="F552" t="s">
        <v>377</v>
      </c>
      <c r="G552" t="s">
        <v>447</v>
      </c>
      <c r="H552">
        <v>181009160103</v>
      </c>
      <c r="I552" t="str">
        <f>CashIntraTable[Portfolio]&amp;VALUE(CashIntraTable[Cash Date])&amp;CashIntraTable[Detail]</f>
        <v>SCBPOP433831.1. Subscription</v>
      </c>
    </row>
    <row r="553" spans="1:9" x14ac:dyDescent="0.2">
      <c r="A553" t="s">
        <v>511</v>
      </c>
      <c r="B553" t="s">
        <v>23</v>
      </c>
      <c r="C553" s="50">
        <v>43383</v>
      </c>
      <c r="D553" t="s">
        <v>446</v>
      </c>
      <c r="E553">
        <v>2095664.67</v>
      </c>
      <c r="F553" t="s">
        <v>378</v>
      </c>
      <c r="G553" t="s">
        <v>447</v>
      </c>
      <c r="H553">
        <v>181009160103</v>
      </c>
      <c r="I553" t="str">
        <f>CashIntraTable[Portfolio]&amp;VALUE(CashIntraTable[Cash Date])&amp;CashIntraTable[Detail]</f>
        <v>SCBPOP433831.2. Switch-in</v>
      </c>
    </row>
    <row r="554" spans="1:9" x14ac:dyDescent="0.2">
      <c r="A554" t="s">
        <v>511</v>
      </c>
      <c r="B554" t="s">
        <v>23</v>
      </c>
      <c r="C554" s="50">
        <v>43382</v>
      </c>
      <c r="D554" t="s">
        <v>446</v>
      </c>
      <c r="E554">
        <v>-1343868.8</v>
      </c>
      <c r="F554" t="s">
        <v>379</v>
      </c>
      <c r="G554" t="s">
        <v>447</v>
      </c>
      <c r="H554">
        <v>181009160103</v>
      </c>
      <c r="I554" t="str">
        <f>CashIntraTable[Portfolio]&amp;VALUE(CashIntraTable[Cash Date])&amp;CashIntraTable[Detail]</f>
        <v>SCBPOP433822.1. Redemption</v>
      </c>
    </row>
    <row r="555" spans="1:9" x14ac:dyDescent="0.2">
      <c r="A555" t="s">
        <v>511</v>
      </c>
      <c r="B555" t="s">
        <v>23</v>
      </c>
      <c r="C555" s="50">
        <v>43383</v>
      </c>
      <c r="D555" t="s">
        <v>446</v>
      </c>
      <c r="E555">
        <v>-1758.96</v>
      </c>
      <c r="F555" t="s">
        <v>379</v>
      </c>
      <c r="G555" t="s">
        <v>447</v>
      </c>
      <c r="H555">
        <v>181009160103</v>
      </c>
      <c r="I555" t="str">
        <f>CashIntraTable[Portfolio]&amp;VALUE(CashIntraTable[Cash Date])&amp;CashIntraTable[Detail]</f>
        <v>SCBPOP433832.1. Redemption</v>
      </c>
    </row>
    <row r="556" spans="1:9" x14ac:dyDescent="0.2">
      <c r="A556" t="s">
        <v>511</v>
      </c>
      <c r="B556" t="s">
        <v>23</v>
      </c>
      <c r="C556" s="50">
        <v>43384</v>
      </c>
      <c r="D556" t="s">
        <v>446</v>
      </c>
      <c r="E556">
        <v>-189285.6</v>
      </c>
      <c r="F556" t="s">
        <v>379</v>
      </c>
      <c r="G556" t="s">
        <v>447</v>
      </c>
      <c r="H556">
        <v>181009160103</v>
      </c>
      <c r="I556" t="str">
        <f>CashIntraTable[Portfolio]&amp;VALUE(CashIntraTable[Cash Date])&amp;CashIntraTable[Detail]</f>
        <v>SCBPOP433842.1. Redemption</v>
      </c>
    </row>
    <row r="557" spans="1:9" x14ac:dyDescent="0.2">
      <c r="A557" t="s">
        <v>511</v>
      </c>
      <c r="B557" t="s">
        <v>23</v>
      </c>
      <c r="C557" s="50">
        <v>43385</v>
      </c>
      <c r="D557" t="s">
        <v>446</v>
      </c>
      <c r="E557">
        <v>-33936.14</v>
      </c>
      <c r="F557" t="s">
        <v>379</v>
      </c>
      <c r="G557" t="s">
        <v>447</v>
      </c>
      <c r="H557">
        <v>181009160103</v>
      </c>
      <c r="I557" t="str">
        <f>CashIntraTable[Portfolio]&amp;VALUE(CashIntraTable[Cash Date])&amp;CashIntraTable[Detail]</f>
        <v>SCBPOP433852.1. Redemption</v>
      </c>
    </row>
    <row r="558" spans="1:9" x14ac:dyDescent="0.2">
      <c r="A558" t="s">
        <v>511</v>
      </c>
      <c r="B558" t="s">
        <v>23</v>
      </c>
      <c r="C558" s="50">
        <v>43382</v>
      </c>
      <c r="D558" t="s">
        <v>446</v>
      </c>
      <c r="E558">
        <v>-1558842.52</v>
      </c>
      <c r="F558" t="s">
        <v>380</v>
      </c>
      <c r="G558" t="s">
        <v>447</v>
      </c>
      <c r="H558">
        <v>181009160103</v>
      </c>
      <c r="I558" t="str">
        <f>CashIntraTable[Portfolio]&amp;VALUE(CashIntraTable[Cash Date])&amp;CashIntraTable[Detail]</f>
        <v>SCBPOP433822.2. Switch-out</v>
      </c>
    </row>
    <row r="559" spans="1:9" x14ac:dyDescent="0.2">
      <c r="A559" t="s">
        <v>511</v>
      </c>
      <c r="B559" t="s">
        <v>23</v>
      </c>
      <c r="C559" s="50">
        <v>43383</v>
      </c>
      <c r="D559" t="s">
        <v>446</v>
      </c>
      <c r="E559">
        <v>-26300.21</v>
      </c>
      <c r="F559" t="s">
        <v>380</v>
      </c>
      <c r="G559" t="s">
        <v>447</v>
      </c>
      <c r="H559">
        <v>181009160103</v>
      </c>
      <c r="I559" t="str">
        <f>CashIntraTable[Portfolio]&amp;VALUE(CashIntraTable[Cash Date])&amp;CashIntraTable[Detail]</f>
        <v>SCBPOP433832.2. Switch-out</v>
      </c>
    </row>
    <row r="560" spans="1:9" x14ac:dyDescent="0.2">
      <c r="A560" t="s">
        <v>511</v>
      </c>
      <c r="B560" t="s">
        <v>23</v>
      </c>
      <c r="C560" s="50">
        <v>43384</v>
      </c>
      <c r="D560" t="s">
        <v>446</v>
      </c>
      <c r="E560">
        <v>-1500000</v>
      </c>
      <c r="F560" t="s">
        <v>380</v>
      </c>
      <c r="G560" t="s">
        <v>447</v>
      </c>
      <c r="H560">
        <v>181009160103</v>
      </c>
      <c r="I560" t="str">
        <f>CashIntraTable[Portfolio]&amp;VALUE(CashIntraTable[Cash Date])&amp;CashIntraTable[Detail]</f>
        <v>SCBPOP433842.2. Switch-out</v>
      </c>
    </row>
    <row r="561" spans="1:9" x14ac:dyDescent="0.2">
      <c r="A561" t="s">
        <v>511</v>
      </c>
      <c r="B561" t="s">
        <v>23</v>
      </c>
      <c r="C561" s="50">
        <v>43385</v>
      </c>
      <c r="D561" t="s">
        <v>446</v>
      </c>
      <c r="E561">
        <v>-562481.93000000005</v>
      </c>
      <c r="F561" t="s">
        <v>380</v>
      </c>
      <c r="G561" t="s">
        <v>447</v>
      </c>
      <c r="H561">
        <v>181009160103</v>
      </c>
      <c r="I561" t="str">
        <f>CashIntraTable[Portfolio]&amp;VALUE(CashIntraTable[Cash Date])&amp;CashIntraTable[Detail]</f>
        <v>SCBPOP433852.2. Switch-out</v>
      </c>
    </row>
    <row r="562" spans="1:9" x14ac:dyDescent="0.2">
      <c r="A562" t="s">
        <v>385</v>
      </c>
      <c r="B562" t="s">
        <v>23</v>
      </c>
      <c r="C562" s="50">
        <v>43382</v>
      </c>
      <c r="D562" t="s">
        <v>446</v>
      </c>
      <c r="E562">
        <v>4000</v>
      </c>
      <c r="F562" t="s">
        <v>377</v>
      </c>
      <c r="G562" t="s">
        <v>447</v>
      </c>
      <c r="H562">
        <v>181009160103</v>
      </c>
      <c r="I562" t="str">
        <f>CashIntraTable[Portfolio]&amp;VALUE(CashIntraTable[Cash Date])&amp;CashIntraTable[Detail]</f>
        <v>SCBRF433821.1. Subscription</v>
      </c>
    </row>
    <row r="563" spans="1:9" x14ac:dyDescent="0.2">
      <c r="A563" t="s">
        <v>385</v>
      </c>
      <c r="B563" t="s">
        <v>23</v>
      </c>
      <c r="C563" s="50">
        <v>43383</v>
      </c>
      <c r="D563" t="s">
        <v>446</v>
      </c>
      <c r="E563">
        <v>100000</v>
      </c>
      <c r="F563" t="s">
        <v>377</v>
      </c>
      <c r="G563" t="s">
        <v>447</v>
      </c>
      <c r="H563">
        <v>181009160103</v>
      </c>
      <c r="I563" t="str">
        <f>CashIntraTable[Portfolio]&amp;VALUE(CashIntraTable[Cash Date])&amp;CashIntraTable[Detail]</f>
        <v>SCBRF433831.1. Subscription</v>
      </c>
    </row>
    <row r="564" spans="1:9" x14ac:dyDescent="0.2">
      <c r="A564" t="s">
        <v>385</v>
      </c>
      <c r="B564" t="s">
        <v>23</v>
      </c>
      <c r="C564" s="50">
        <v>43385</v>
      </c>
      <c r="D564" t="s">
        <v>446</v>
      </c>
      <c r="E564">
        <v>985.72</v>
      </c>
      <c r="F564" t="s">
        <v>378</v>
      </c>
      <c r="G564" t="s">
        <v>447</v>
      </c>
      <c r="H564">
        <v>181009160103</v>
      </c>
      <c r="I564" t="str">
        <f>CashIntraTable[Portfolio]&amp;VALUE(CashIntraTable[Cash Date])&amp;CashIntraTable[Detail]</f>
        <v>SCBRF433851.2. Switch-in</v>
      </c>
    </row>
    <row r="565" spans="1:9" x14ac:dyDescent="0.2">
      <c r="A565" t="s">
        <v>386</v>
      </c>
      <c r="B565" t="s">
        <v>23</v>
      </c>
      <c r="C565" s="50">
        <v>43382</v>
      </c>
      <c r="D565" t="s">
        <v>446</v>
      </c>
      <c r="E565">
        <v>2344200</v>
      </c>
      <c r="F565" t="s">
        <v>377</v>
      </c>
      <c r="G565" t="s">
        <v>447</v>
      </c>
      <c r="H565">
        <v>181009160103</v>
      </c>
      <c r="I565" t="str">
        <f>CashIntraTable[Portfolio]&amp;VALUE(CashIntraTable[Cash Date])&amp;CashIntraTable[Detail]</f>
        <v>SCBRM1433821.1. Subscription</v>
      </c>
    </row>
    <row r="566" spans="1:9" x14ac:dyDescent="0.2">
      <c r="A566" t="s">
        <v>386</v>
      </c>
      <c r="B566" t="s">
        <v>23</v>
      </c>
      <c r="C566" s="50">
        <v>43383</v>
      </c>
      <c r="D566" t="s">
        <v>446</v>
      </c>
      <c r="E566">
        <v>2117000</v>
      </c>
      <c r="F566" t="s">
        <v>377</v>
      </c>
      <c r="G566" t="s">
        <v>447</v>
      </c>
      <c r="H566">
        <v>181009160103</v>
      </c>
      <c r="I566" t="str">
        <f>CashIntraTable[Portfolio]&amp;VALUE(CashIntraTable[Cash Date])&amp;CashIntraTable[Detail]</f>
        <v>SCBRM1433831.1. Subscription</v>
      </c>
    </row>
    <row r="567" spans="1:9" x14ac:dyDescent="0.2">
      <c r="A567" t="s">
        <v>386</v>
      </c>
      <c r="B567" t="s">
        <v>23</v>
      </c>
      <c r="C567" s="50">
        <v>43382</v>
      </c>
      <c r="D567" t="s">
        <v>446</v>
      </c>
      <c r="E567">
        <v>3660000</v>
      </c>
      <c r="F567" t="s">
        <v>381</v>
      </c>
      <c r="G567" t="s">
        <v>447</v>
      </c>
      <c r="H567">
        <v>181009160103</v>
      </c>
      <c r="I567" t="str">
        <f>CashIntraTable[Portfolio]&amp;VALUE(CashIntraTable[Cash Date])&amp;CashIntraTable[Detail]</f>
        <v>SCBRM1433821.1. Subscription (Chq)</v>
      </c>
    </row>
    <row r="568" spans="1:9" x14ac:dyDescent="0.2">
      <c r="A568" t="s">
        <v>386</v>
      </c>
      <c r="B568" t="s">
        <v>23</v>
      </c>
      <c r="C568" s="50">
        <v>43383</v>
      </c>
      <c r="D568" t="s">
        <v>446</v>
      </c>
      <c r="E568">
        <v>2615500</v>
      </c>
      <c r="F568" t="s">
        <v>381</v>
      </c>
      <c r="G568" t="s">
        <v>447</v>
      </c>
      <c r="H568">
        <v>181009160103</v>
      </c>
      <c r="I568" t="str">
        <f>CashIntraTable[Portfolio]&amp;VALUE(CashIntraTable[Cash Date])&amp;CashIntraTable[Detail]</f>
        <v>SCBRM1433831.1. Subscription (Chq)</v>
      </c>
    </row>
    <row r="569" spans="1:9" x14ac:dyDescent="0.2">
      <c r="A569" t="s">
        <v>386</v>
      </c>
      <c r="B569" t="s">
        <v>23</v>
      </c>
      <c r="C569" s="50">
        <v>43382</v>
      </c>
      <c r="D569" t="s">
        <v>446</v>
      </c>
      <c r="E569">
        <v>3572816.21</v>
      </c>
      <c r="F569" t="s">
        <v>378</v>
      </c>
      <c r="G569" t="s">
        <v>447</v>
      </c>
      <c r="H569">
        <v>181009160103</v>
      </c>
      <c r="I569" t="str">
        <f>CashIntraTable[Portfolio]&amp;VALUE(CashIntraTable[Cash Date])&amp;CashIntraTable[Detail]</f>
        <v>SCBRM1433821.2. Switch-in</v>
      </c>
    </row>
    <row r="570" spans="1:9" x14ac:dyDescent="0.2">
      <c r="A570" t="s">
        <v>386</v>
      </c>
      <c r="B570" t="s">
        <v>23</v>
      </c>
      <c r="C570" s="50">
        <v>43383</v>
      </c>
      <c r="D570" t="s">
        <v>446</v>
      </c>
      <c r="E570">
        <v>13926669.27</v>
      </c>
      <c r="F570" t="s">
        <v>378</v>
      </c>
      <c r="G570" t="s">
        <v>447</v>
      </c>
      <c r="H570">
        <v>181009160103</v>
      </c>
      <c r="I570" t="str">
        <f>CashIntraTable[Portfolio]&amp;VALUE(CashIntraTable[Cash Date])&amp;CashIntraTable[Detail]</f>
        <v>SCBRM1433831.2. Switch-in</v>
      </c>
    </row>
    <row r="571" spans="1:9" x14ac:dyDescent="0.2">
      <c r="A571" t="s">
        <v>386</v>
      </c>
      <c r="B571" t="s">
        <v>23</v>
      </c>
      <c r="C571" s="50">
        <v>43384</v>
      </c>
      <c r="D571" t="s">
        <v>446</v>
      </c>
      <c r="E571">
        <v>1536355.64</v>
      </c>
      <c r="F571" t="s">
        <v>378</v>
      </c>
      <c r="G571" t="s">
        <v>447</v>
      </c>
      <c r="H571">
        <v>181009160103</v>
      </c>
      <c r="I571" t="str">
        <f>CashIntraTable[Portfolio]&amp;VALUE(CashIntraTable[Cash Date])&amp;CashIntraTable[Detail]</f>
        <v>SCBRM1433841.2. Switch-in</v>
      </c>
    </row>
    <row r="572" spans="1:9" x14ac:dyDescent="0.2">
      <c r="A572" t="s">
        <v>386</v>
      </c>
      <c r="B572" t="s">
        <v>23</v>
      </c>
      <c r="C572" s="50">
        <v>43385</v>
      </c>
      <c r="D572" t="s">
        <v>446</v>
      </c>
      <c r="E572">
        <v>193629.23</v>
      </c>
      <c r="F572" t="s">
        <v>378</v>
      </c>
      <c r="G572" t="s">
        <v>447</v>
      </c>
      <c r="H572">
        <v>181009160103</v>
      </c>
      <c r="I572" t="str">
        <f>CashIntraTable[Portfolio]&amp;VALUE(CashIntraTable[Cash Date])&amp;CashIntraTable[Detail]</f>
        <v>SCBRM1433851.2. Switch-in</v>
      </c>
    </row>
    <row r="573" spans="1:9" x14ac:dyDescent="0.2">
      <c r="A573" t="s">
        <v>386</v>
      </c>
      <c r="B573" t="s">
        <v>23</v>
      </c>
      <c r="C573" s="50">
        <v>43390</v>
      </c>
      <c r="D573" t="s">
        <v>446</v>
      </c>
      <c r="E573">
        <v>201603.85</v>
      </c>
      <c r="F573" t="s">
        <v>378</v>
      </c>
      <c r="G573" t="s">
        <v>447</v>
      </c>
      <c r="H573">
        <v>181009160103</v>
      </c>
      <c r="I573" t="str">
        <f>CashIntraTable[Portfolio]&amp;VALUE(CashIntraTable[Cash Date])&amp;CashIntraTable[Detail]</f>
        <v>SCBRM1433901.2. Switch-in</v>
      </c>
    </row>
    <row r="574" spans="1:9" x14ac:dyDescent="0.2">
      <c r="A574" t="s">
        <v>386</v>
      </c>
      <c r="B574" t="s">
        <v>23</v>
      </c>
      <c r="C574" s="50">
        <v>43382</v>
      </c>
      <c r="D574" t="s">
        <v>446</v>
      </c>
      <c r="E574">
        <v>-4604637.79</v>
      </c>
      <c r="F574" t="s">
        <v>379</v>
      </c>
      <c r="G574" t="s">
        <v>447</v>
      </c>
      <c r="H574">
        <v>181009160103</v>
      </c>
      <c r="I574" t="str">
        <f>CashIntraTable[Portfolio]&amp;VALUE(CashIntraTable[Cash Date])&amp;CashIntraTable[Detail]</f>
        <v>SCBRM1433822.1. Redemption</v>
      </c>
    </row>
    <row r="575" spans="1:9" x14ac:dyDescent="0.2">
      <c r="A575" t="s">
        <v>386</v>
      </c>
      <c r="B575" t="s">
        <v>23</v>
      </c>
      <c r="C575" s="50">
        <v>43383</v>
      </c>
      <c r="D575" t="s">
        <v>446</v>
      </c>
      <c r="E575">
        <v>-5391707.8700000001</v>
      </c>
      <c r="F575" t="s">
        <v>379</v>
      </c>
      <c r="G575" t="s">
        <v>447</v>
      </c>
      <c r="H575">
        <v>181009160103</v>
      </c>
      <c r="I575" t="str">
        <f>CashIntraTable[Portfolio]&amp;VALUE(CashIntraTable[Cash Date])&amp;CashIntraTable[Detail]</f>
        <v>SCBRM1433832.1. Redemption</v>
      </c>
    </row>
    <row r="576" spans="1:9" x14ac:dyDescent="0.2">
      <c r="A576" t="s">
        <v>386</v>
      </c>
      <c r="B576" t="s">
        <v>23</v>
      </c>
      <c r="C576" s="50">
        <v>43382</v>
      </c>
      <c r="D576" t="s">
        <v>446</v>
      </c>
      <c r="E576">
        <v>-21933959.41</v>
      </c>
      <c r="F576" t="s">
        <v>380</v>
      </c>
      <c r="G576" t="s">
        <v>447</v>
      </c>
      <c r="H576">
        <v>181009160103</v>
      </c>
      <c r="I576" t="str">
        <f>CashIntraTable[Portfolio]&amp;VALUE(CashIntraTable[Cash Date])&amp;CashIntraTable[Detail]</f>
        <v>SCBRM1433822.2. Switch-out</v>
      </c>
    </row>
    <row r="577" spans="1:9" x14ac:dyDescent="0.2">
      <c r="A577" t="s">
        <v>386</v>
      </c>
      <c r="B577" t="s">
        <v>23</v>
      </c>
      <c r="C577" s="50">
        <v>43383</v>
      </c>
      <c r="D577" t="s">
        <v>446</v>
      </c>
      <c r="E577">
        <v>-17719807.190000001</v>
      </c>
      <c r="F577" t="s">
        <v>380</v>
      </c>
      <c r="G577" t="s">
        <v>447</v>
      </c>
      <c r="H577">
        <v>181009160103</v>
      </c>
      <c r="I577" t="str">
        <f>CashIntraTable[Portfolio]&amp;VALUE(CashIntraTable[Cash Date])&amp;CashIntraTable[Detail]</f>
        <v>SCBRM1433832.2. Switch-out</v>
      </c>
    </row>
    <row r="578" spans="1:9" x14ac:dyDescent="0.2">
      <c r="A578" t="s">
        <v>387</v>
      </c>
      <c r="B578" t="s">
        <v>23</v>
      </c>
      <c r="C578" s="50">
        <v>43382</v>
      </c>
      <c r="D578" t="s">
        <v>446</v>
      </c>
      <c r="E578">
        <v>415700</v>
      </c>
      <c r="F578" t="s">
        <v>377</v>
      </c>
      <c r="G578" t="s">
        <v>447</v>
      </c>
      <c r="H578">
        <v>181009160103</v>
      </c>
      <c r="I578" t="str">
        <f>CashIntraTable[Portfolio]&amp;VALUE(CashIntraTable[Cash Date])&amp;CashIntraTable[Detail]</f>
        <v>SCBRM2433821.1. Subscription</v>
      </c>
    </row>
    <row r="579" spans="1:9" x14ac:dyDescent="0.2">
      <c r="A579" t="s">
        <v>387</v>
      </c>
      <c r="B579" t="s">
        <v>23</v>
      </c>
      <c r="C579" s="50">
        <v>43383</v>
      </c>
      <c r="D579" t="s">
        <v>446</v>
      </c>
      <c r="E579">
        <v>1951000</v>
      </c>
      <c r="F579" t="s">
        <v>377</v>
      </c>
      <c r="G579" t="s">
        <v>447</v>
      </c>
      <c r="H579">
        <v>181009160103</v>
      </c>
      <c r="I579" t="str">
        <f>CashIntraTable[Portfolio]&amp;VALUE(CashIntraTable[Cash Date])&amp;CashIntraTable[Detail]</f>
        <v>SCBRM2433831.1. Subscription</v>
      </c>
    </row>
    <row r="580" spans="1:9" x14ac:dyDescent="0.2">
      <c r="A580" t="s">
        <v>387</v>
      </c>
      <c r="B580" t="s">
        <v>23</v>
      </c>
      <c r="C580" s="50">
        <v>43382</v>
      </c>
      <c r="D580" t="s">
        <v>446</v>
      </c>
      <c r="E580">
        <v>659000</v>
      </c>
      <c r="F580" t="s">
        <v>381</v>
      </c>
      <c r="G580" t="s">
        <v>447</v>
      </c>
      <c r="H580">
        <v>181009160103</v>
      </c>
      <c r="I580" t="str">
        <f>CashIntraTable[Portfolio]&amp;VALUE(CashIntraTable[Cash Date])&amp;CashIntraTable[Detail]</f>
        <v>SCBRM2433821.1. Subscription (Chq)</v>
      </c>
    </row>
    <row r="581" spans="1:9" x14ac:dyDescent="0.2">
      <c r="A581" t="s">
        <v>387</v>
      </c>
      <c r="B581" t="s">
        <v>23</v>
      </c>
      <c r="C581" s="50">
        <v>43383</v>
      </c>
      <c r="D581" t="s">
        <v>446</v>
      </c>
      <c r="E581">
        <v>1225000</v>
      </c>
      <c r="F581" t="s">
        <v>381</v>
      </c>
      <c r="G581" t="s">
        <v>447</v>
      </c>
      <c r="H581">
        <v>181009160103</v>
      </c>
      <c r="I581" t="str">
        <f>CashIntraTable[Portfolio]&amp;VALUE(CashIntraTable[Cash Date])&amp;CashIntraTable[Detail]</f>
        <v>SCBRM2433831.1. Subscription (Chq)</v>
      </c>
    </row>
    <row r="582" spans="1:9" x14ac:dyDescent="0.2">
      <c r="A582" t="s">
        <v>387</v>
      </c>
      <c r="B582" t="s">
        <v>23</v>
      </c>
      <c r="C582" s="50">
        <v>43382</v>
      </c>
      <c r="D582" t="s">
        <v>446</v>
      </c>
      <c r="E582">
        <v>887446.51</v>
      </c>
      <c r="F582" t="s">
        <v>378</v>
      </c>
      <c r="G582" t="s">
        <v>447</v>
      </c>
      <c r="H582">
        <v>181009160103</v>
      </c>
      <c r="I582" t="str">
        <f>CashIntraTable[Portfolio]&amp;VALUE(CashIntraTable[Cash Date])&amp;CashIntraTable[Detail]</f>
        <v>SCBRM2433821.2. Switch-in</v>
      </c>
    </row>
    <row r="583" spans="1:9" x14ac:dyDescent="0.2">
      <c r="A583" t="s">
        <v>387</v>
      </c>
      <c r="B583" t="s">
        <v>23</v>
      </c>
      <c r="C583" s="50">
        <v>43383</v>
      </c>
      <c r="D583" t="s">
        <v>446</v>
      </c>
      <c r="E583">
        <v>887778.5</v>
      </c>
      <c r="F583" t="s">
        <v>378</v>
      </c>
      <c r="G583" t="s">
        <v>447</v>
      </c>
      <c r="H583">
        <v>181009160103</v>
      </c>
      <c r="I583" t="str">
        <f>CashIntraTable[Portfolio]&amp;VALUE(CashIntraTable[Cash Date])&amp;CashIntraTable[Detail]</f>
        <v>SCBRM2433831.2. Switch-in</v>
      </c>
    </row>
    <row r="584" spans="1:9" x14ac:dyDescent="0.2">
      <c r="A584" t="s">
        <v>387</v>
      </c>
      <c r="B584" t="s">
        <v>23</v>
      </c>
      <c r="C584" s="50">
        <v>43384</v>
      </c>
      <c r="D584" t="s">
        <v>446</v>
      </c>
      <c r="E584">
        <v>2900576.06</v>
      </c>
      <c r="F584" t="s">
        <v>378</v>
      </c>
      <c r="G584" t="s">
        <v>447</v>
      </c>
      <c r="H584">
        <v>181009160103</v>
      </c>
      <c r="I584" t="str">
        <f>CashIntraTable[Portfolio]&amp;VALUE(CashIntraTable[Cash Date])&amp;CashIntraTable[Detail]</f>
        <v>SCBRM2433841.2. Switch-in</v>
      </c>
    </row>
    <row r="585" spans="1:9" x14ac:dyDescent="0.2">
      <c r="A585" t="s">
        <v>387</v>
      </c>
      <c r="B585" t="s">
        <v>23</v>
      </c>
      <c r="C585" s="50">
        <v>43391</v>
      </c>
      <c r="D585" t="s">
        <v>446</v>
      </c>
      <c r="E585">
        <v>10120.91</v>
      </c>
      <c r="F585" t="s">
        <v>378</v>
      </c>
      <c r="G585" t="s">
        <v>447</v>
      </c>
      <c r="H585">
        <v>181009160103</v>
      </c>
      <c r="I585" t="str">
        <f>CashIntraTable[Portfolio]&amp;VALUE(CashIntraTable[Cash Date])&amp;CashIntraTable[Detail]</f>
        <v>SCBRM2433911.2. Switch-in</v>
      </c>
    </row>
    <row r="586" spans="1:9" x14ac:dyDescent="0.2">
      <c r="A586" t="s">
        <v>387</v>
      </c>
      <c r="B586" t="s">
        <v>23</v>
      </c>
      <c r="C586" s="50">
        <v>43382</v>
      </c>
      <c r="D586" t="s">
        <v>446</v>
      </c>
      <c r="E586">
        <v>-3096082.67</v>
      </c>
      <c r="F586" t="s">
        <v>379</v>
      </c>
      <c r="G586" t="s">
        <v>447</v>
      </c>
      <c r="H586">
        <v>181009160103</v>
      </c>
      <c r="I586" t="str">
        <f>CashIntraTable[Portfolio]&amp;VALUE(CashIntraTable[Cash Date])&amp;CashIntraTable[Detail]</f>
        <v>SCBRM2433822.1. Redemption</v>
      </c>
    </row>
    <row r="587" spans="1:9" x14ac:dyDescent="0.2">
      <c r="A587" t="s">
        <v>387</v>
      </c>
      <c r="B587" t="s">
        <v>23</v>
      </c>
      <c r="C587" s="50">
        <v>43383</v>
      </c>
      <c r="D587" t="s">
        <v>446</v>
      </c>
      <c r="E587">
        <v>-455292.3</v>
      </c>
      <c r="F587" t="s">
        <v>379</v>
      </c>
      <c r="G587" t="s">
        <v>447</v>
      </c>
      <c r="H587">
        <v>181009160103</v>
      </c>
      <c r="I587" t="str">
        <f>CashIntraTable[Portfolio]&amp;VALUE(CashIntraTable[Cash Date])&amp;CashIntraTable[Detail]</f>
        <v>SCBRM2433832.1. Redemption</v>
      </c>
    </row>
    <row r="588" spans="1:9" x14ac:dyDescent="0.2">
      <c r="A588" t="s">
        <v>387</v>
      </c>
      <c r="B588" t="s">
        <v>23</v>
      </c>
      <c r="C588" s="50">
        <v>43382</v>
      </c>
      <c r="D588" t="s">
        <v>446</v>
      </c>
      <c r="E588">
        <v>-3091554.74</v>
      </c>
      <c r="F588" t="s">
        <v>380</v>
      </c>
      <c r="G588" t="s">
        <v>447</v>
      </c>
      <c r="H588">
        <v>181009160103</v>
      </c>
      <c r="I588" t="str">
        <f>CashIntraTable[Portfolio]&amp;VALUE(CashIntraTable[Cash Date])&amp;CashIntraTable[Detail]</f>
        <v>SCBRM2433822.2. Switch-out</v>
      </c>
    </row>
    <row r="589" spans="1:9" x14ac:dyDescent="0.2">
      <c r="A589" t="s">
        <v>387</v>
      </c>
      <c r="B589" t="s">
        <v>23</v>
      </c>
      <c r="C589" s="50">
        <v>43383</v>
      </c>
      <c r="D589" t="s">
        <v>446</v>
      </c>
      <c r="E589">
        <v>-5807299.1500000004</v>
      </c>
      <c r="F589" t="s">
        <v>380</v>
      </c>
      <c r="G589" t="s">
        <v>447</v>
      </c>
      <c r="H589">
        <v>181009160103</v>
      </c>
      <c r="I589" t="str">
        <f>CashIntraTable[Portfolio]&amp;VALUE(CashIntraTable[Cash Date])&amp;CashIntraTable[Detail]</f>
        <v>SCBRM2433832.2. Switch-out</v>
      </c>
    </row>
    <row r="590" spans="1:9" x14ac:dyDescent="0.2">
      <c r="A590" t="s">
        <v>512</v>
      </c>
      <c r="B590" t="s">
        <v>23</v>
      </c>
      <c r="C590" s="50">
        <v>43382</v>
      </c>
      <c r="D590" t="s">
        <v>446</v>
      </c>
      <c r="E590">
        <v>578000</v>
      </c>
      <c r="F590" t="s">
        <v>377</v>
      </c>
      <c r="G590" t="s">
        <v>447</v>
      </c>
      <c r="H590">
        <v>181009160103</v>
      </c>
      <c r="I590" t="str">
        <f>CashIntraTable[Portfolio]&amp;VALUE(CashIntraTable[Cash Date])&amp;CashIntraTable[Detail]</f>
        <v>SCBRM3433821.1. Subscription</v>
      </c>
    </row>
    <row r="591" spans="1:9" x14ac:dyDescent="0.2">
      <c r="A591" t="s">
        <v>512</v>
      </c>
      <c r="B591" t="s">
        <v>23</v>
      </c>
      <c r="C591" s="50">
        <v>43383</v>
      </c>
      <c r="D591" t="s">
        <v>446</v>
      </c>
      <c r="E591">
        <v>1177000</v>
      </c>
      <c r="F591" t="s">
        <v>377</v>
      </c>
      <c r="G591" t="s">
        <v>447</v>
      </c>
      <c r="H591">
        <v>181009160103</v>
      </c>
      <c r="I591" t="str">
        <f>CashIntraTable[Portfolio]&amp;VALUE(CashIntraTable[Cash Date])&amp;CashIntraTable[Detail]</f>
        <v>SCBRM3433831.1. Subscription</v>
      </c>
    </row>
    <row r="592" spans="1:9" x14ac:dyDescent="0.2">
      <c r="A592" t="s">
        <v>512</v>
      </c>
      <c r="B592" t="s">
        <v>23</v>
      </c>
      <c r="C592" s="50">
        <v>43382</v>
      </c>
      <c r="D592" t="s">
        <v>446</v>
      </c>
      <c r="E592">
        <v>1085500</v>
      </c>
      <c r="F592" t="s">
        <v>381</v>
      </c>
      <c r="G592" t="s">
        <v>447</v>
      </c>
      <c r="H592">
        <v>181009160103</v>
      </c>
      <c r="I592" t="str">
        <f>CashIntraTable[Portfolio]&amp;VALUE(CashIntraTable[Cash Date])&amp;CashIntraTable[Detail]</f>
        <v>SCBRM3433821.1. Subscription (Chq)</v>
      </c>
    </row>
    <row r="593" spans="1:9" x14ac:dyDescent="0.2">
      <c r="A593" t="s">
        <v>512</v>
      </c>
      <c r="B593" t="s">
        <v>23</v>
      </c>
      <c r="C593" s="50">
        <v>43383</v>
      </c>
      <c r="D593" t="s">
        <v>446</v>
      </c>
      <c r="E593">
        <v>758500</v>
      </c>
      <c r="F593" t="s">
        <v>381</v>
      </c>
      <c r="G593" t="s">
        <v>447</v>
      </c>
      <c r="H593">
        <v>181009160103</v>
      </c>
      <c r="I593" t="str">
        <f>CashIntraTable[Portfolio]&amp;VALUE(CashIntraTable[Cash Date])&amp;CashIntraTable[Detail]</f>
        <v>SCBRM3433831.1. Subscription (Chq)</v>
      </c>
    </row>
    <row r="594" spans="1:9" x14ac:dyDescent="0.2">
      <c r="A594" t="s">
        <v>512</v>
      </c>
      <c r="B594" t="s">
        <v>23</v>
      </c>
      <c r="C594" s="50">
        <v>43382</v>
      </c>
      <c r="D594" t="s">
        <v>446</v>
      </c>
      <c r="E594">
        <v>1468389.68</v>
      </c>
      <c r="F594" t="s">
        <v>378</v>
      </c>
      <c r="G594" t="s">
        <v>447</v>
      </c>
      <c r="H594">
        <v>181009160103</v>
      </c>
      <c r="I594" t="str">
        <f>CashIntraTable[Portfolio]&amp;VALUE(CashIntraTable[Cash Date])&amp;CashIntraTable[Detail]</f>
        <v>SCBRM3433821.2. Switch-in</v>
      </c>
    </row>
    <row r="595" spans="1:9" x14ac:dyDescent="0.2">
      <c r="A595" t="s">
        <v>512</v>
      </c>
      <c r="B595" t="s">
        <v>23</v>
      </c>
      <c r="C595" s="50">
        <v>43383</v>
      </c>
      <c r="D595" t="s">
        <v>446</v>
      </c>
      <c r="E595">
        <v>1329738.1399999999</v>
      </c>
      <c r="F595" t="s">
        <v>378</v>
      </c>
      <c r="G595" t="s">
        <v>447</v>
      </c>
      <c r="H595">
        <v>181009160103</v>
      </c>
      <c r="I595" t="str">
        <f>CashIntraTable[Portfolio]&amp;VALUE(CashIntraTable[Cash Date])&amp;CashIntraTable[Detail]</f>
        <v>SCBRM3433831.2. Switch-in</v>
      </c>
    </row>
    <row r="596" spans="1:9" x14ac:dyDescent="0.2">
      <c r="A596" t="s">
        <v>512</v>
      </c>
      <c r="B596" t="s">
        <v>23</v>
      </c>
      <c r="C596" s="50">
        <v>43384</v>
      </c>
      <c r="D596" t="s">
        <v>446</v>
      </c>
      <c r="E596">
        <v>1111630.67</v>
      </c>
      <c r="F596" t="s">
        <v>378</v>
      </c>
      <c r="G596" t="s">
        <v>447</v>
      </c>
      <c r="H596">
        <v>181009160103</v>
      </c>
      <c r="I596" t="str">
        <f>CashIntraTable[Portfolio]&amp;VALUE(CashIntraTable[Cash Date])&amp;CashIntraTable[Detail]</f>
        <v>SCBRM3433841.2. Switch-in</v>
      </c>
    </row>
    <row r="597" spans="1:9" x14ac:dyDescent="0.2">
      <c r="A597" t="s">
        <v>512</v>
      </c>
      <c r="B597" t="s">
        <v>23</v>
      </c>
      <c r="C597" s="50">
        <v>43382</v>
      </c>
      <c r="D597" t="s">
        <v>446</v>
      </c>
      <c r="E597">
        <v>-1935018.71</v>
      </c>
      <c r="F597" t="s">
        <v>379</v>
      </c>
      <c r="G597" t="s">
        <v>447</v>
      </c>
      <c r="H597">
        <v>181009160103</v>
      </c>
      <c r="I597" t="str">
        <f>CashIntraTable[Portfolio]&amp;VALUE(CashIntraTable[Cash Date])&amp;CashIntraTable[Detail]</f>
        <v>SCBRM3433822.1. Redemption</v>
      </c>
    </row>
    <row r="598" spans="1:9" x14ac:dyDescent="0.2">
      <c r="A598" t="s">
        <v>512</v>
      </c>
      <c r="B598" t="s">
        <v>23</v>
      </c>
      <c r="C598" s="50">
        <v>43384</v>
      </c>
      <c r="D598" t="s">
        <v>446</v>
      </c>
      <c r="E598">
        <v>-221525.5</v>
      </c>
      <c r="F598" t="s">
        <v>379</v>
      </c>
      <c r="G598" t="s">
        <v>447</v>
      </c>
      <c r="H598">
        <v>181009160103</v>
      </c>
      <c r="I598" t="str">
        <f>CashIntraTable[Portfolio]&amp;VALUE(CashIntraTable[Cash Date])&amp;CashIntraTable[Detail]</f>
        <v>SCBRM3433842.1. Redemption</v>
      </c>
    </row>
    <row r="599" spans="1:9" x14ac:dyDescent="0.2">
      <c r="A599" t="s">
        <v>512</v>
      </c>
      <c r="B599" t="s">
        <v>23</v>
      </c>
      <c r="C599" s="50">
        <v>43382</v>
      </c>
      <c r="D599" t="s">
        <v>446</v>
      </c>
      <c r="E599">
        <v>-92540.74</v>
      </c>
      <c r="F599" t="s">
        <v>380</v>
      </c>
      <c r="G599" t="s">
        <v>447</v>
      </c>
      <c r="H599">
        <v>181009160103</v>
      </c>
      <c r="I599" t="str">
        <f>CashIntraTable[Portfolio]&amp;VALUE(CashIntraTable[Cash Date])&amp;CashIntraTable[Detail]</f>
        <v>SCBRM3433822.2. Switch-out</v>
      </c>
    </row>
    <row r="600" spans="1:9" x14ac:dyDescent="0.2">
      <c r="A600" t="s">
        <v>512</v>
      </c>
      <c r="B600" t="s">
        <v>23</v>
      </c>
      <c r="C600" s="50">
        <v>43383</v>
      </c>
      <c r="D600" t="s">
        <v>446</v>
      </c>
      <c r="E600">
        <v>-1261007.32</v>
      </c>
      <c r="F600" t="s">
        <v>380</v>
      </c>
      <c r="G600" t="s">
        <v>447</v>
      </c>
      <c r="H600">
        <v>181009160103</v>
      </c>
      <c r="I600" t="str">
        <f>CashIntraTable[Portfolio]&amp;VALUE(CashIntraTable[Cash Date])&amp;CashIntraTable[Detail]</f>
        <v>SCBRM3433832.2. Switch-out</v>
      </c>
    </row>
    <row r="601" spans="1:9" x14ac:dyDescent="0.2">
      <c r="A601" t="s">
        <v>512</v>
      </c>
      <c r="B601" t="s">
        <v>23</v>
      </c>
      <c r="C601" s="50">
        <v>43384</v>
      </c>
      <c r="D601" t="s">
        <v>446</v>
      </c>
      <c r="E601">
        <v>-106563.69</v>
      </c>
      <c r="F601" t="s">
        <v>380</v>
      </c>
      <c r="G601" t="s">
        <v>447</v>
      </c>
      <c r="H601">
        <v>181009160103</v>
      </c>
      <c r="I601" t="str">
        <f>CashIntraTable[Portfolio]&amp;VALUE(CashIntraTable[Cash Date])&amp;CashIntraTable[Detail]</f>
        <v>SCBRM3433842.2. Switch-out</v>
      </c>
    </row>
    <row r="602" spans="1:9" x14ac:dyDescent="0.2">
      <c r="A602" t="s">
        <v>513</v>
      </c>
      <c r="B602" t="s">
        <v>23</v>
      </c>
      <c r="C602" s="50">
        <v>43382</v>
      </c>
      <c r="D602" t="s">
        <v>446</v>
      </c>
      <c r="E602">
        <v>1004300</v>
      </c>
      <c r="F602" t="s">
        <v>377</v>
      </c>
      <c r="G602" t="s">
        <v>447</v>
      </c>
      <c r="H602">
        <v>181009160103</v>
      </c>
      <c r="I602" t="str">
        <f>CashIntraTable[Portfolio]&amp;VALUE(CashIntraTable[Cash Date])&amp;CashIntraTable[Detail]</f>
        <v>SCBRM4433821.1. Subscription</v>
      </c>
    </row>
    <row r="603" spans="1:9" x14ac:dyDescent="0.2">
      <c r="A603" t="s">
        <v>513</v>
      </c>
      <c r="B603" t="s">
        <v>23</v>
      </c>
      <c r="C603" s="50">
        <v>43383</v>
      </c>
      <c r="D603" t="s">
        <v>446</v>
      </c>
      <c r="E603">
        <v>2244271.5</v>
      </c>
      <c r="F603" t="s">
        <v>377</v>
      </c>
      <c r="G603" t="s">
        <v>447</v>
      </c>
      <c r="H603">
        <v>181009160103</v>
      </c>
      <c r="I603" t="str">
        <f>CashIntraTable[Portfolio]&amp;VALUE(CashIntraTable[Cash Date])&amp;CashIntraTable[Detail]</f>
        <v>SCBRM4433831.1. Subscription</v>
      </c>
    </row>
    <row r="604" spans="1:9" x14ac:dyDescent="0.2">
      <c r="A604" t="s">
        <v>513</v>
      </c>
      <c r="B604" t="s">
        <v>23</v>
      </c>
      <c r="C604" s="50">
        <v>43382</v>
      </c>
      <c r="D604" t="s">
        <v>446</v>
      </c>
      <c r="E604">
        <v>2834416</v>
      </c>
      <c r="F604" t="s">
        <v>381</v>
      </c>
      <c r="G604" t="s">
        <v>447</v>
      </c>
      <c r="H604">
        <v>181009160103</v>
      </c>
      <c r="I604" t="str">
        <f>CashIntraTable[Portfolio]&amp;VALUE(CashIntraTable[Cash Date])&amp;CashIntraTable[Detail]</f>
        <v>SCBRM4433821.1. Subscription (Chq)</v>
      </c>
    </row>
    <row r="605" spans="1:9" x14ac:dyDescent="0.2">
      <c r="A605" t="s">
        <v>513</v>
      </c>
      <c r="B605" t="s">
        <v>23</v>
      </c>
      <c r="C605" s="50">
        <v>43383</v>
      </c>
      <c r="D605" t="s">
        <v>446</v>
      </c>
      <c r="E605">
        <v>1883600</v>
      </c>
      <c r="F605" t="s">
        <v>381</v>
      </c>
      <c r="G605" t="s">
        <v>447</v>
      </c>
      <c r="H605">
        <v>181009160103</v>
      </c>
      <c r="I605" t="str">
        <f>CashIntraTable[Portfolio]&amp;VALUE(CashIntraTable[Cash Date])&amp;CashIntraTable[Detail]</f>
        <v>SCBRM4433831.1. Subscription (Chq)</v>
      </c>
    </row>
    <row r="606" spans="1:9" x14ac:dyDescent="0.2">
      <c r="A606" t="s">
        <v>513</v>
      </c>
      <c r="B606" t="s">
        <v>23</v>
      </c>
      <c r="C606" s="50">
        <v>43382</v>
      </c>
      <c r="D606" t="s">
        <v>446</v>
      </c>
      <c r="E606">
        <v>18269459.609999999</v>
      </c>
      <c r="F606" t="s">
        <v>378</v>
      </c>
      <c r="G606" t="s">
        <v>447</v>
      </c>
      <c r="H606">
        <v>181009160103</v>
      </c>
      <c r="I606" t="str">
        <f>CashIntraTable[Portfolio]&amp;VALUE(CashIntraTable[Cash Date])&amp;CashIntraTable[Detail]</f>
        <v>SCBRM4433821.2. Switch-in</v>
      </c>
    </row>
    <row r="607" spans="1:9" x14ac:dyDescent="0.2">
      <c r="A607" t="s">
        <v>513</v>
      </c>
      <c r="B607" t="s">
        <v>23</v>
      </c>
      <c r="C607" s="50">
        <v>43383</v>
      </c>
      <c r="D607" t="s">
        <v>446</v>
      </c>
      <c r="E607">
        <v>16479103.32</v>
      </c>
      <c r="F607" t="s">
        <v>378</v>
      </c>
      <c r="G607" t="s">
        <v>447</v>
      </c>
      <c r="H607">
        <v>181009160103</v>
      </c>
      <c r="I607" t="str">
        <f>CashIntraTable[Portfolio]&amp;VALUE(CashIntraTable[Cash Date])&amp;CashIntraTable[Detail]</f>
        <v>SCBRM4433831.2. Switch-in</v>
      </c>
    </row>
    <row r="608" spans="1:9" x14ac:dyDescent="0.2">
      <c r="A608" t="s">
        <v>513</v>
      </c>
      <c r="B608" t="s">
        <v>23</v>
      </c>
      <c r="C608" s="50">
        <v>43384</v>
      </c>
      <c r="D608" t="s">
        <v>446</v>
      </c>
      <c r="E608">
        <v>15009343.359999999</v>
      </c>
      <c r="F608" t="s">
        <v>378</v>
      </c>
      <c r="G608" t="s">
        <v>447</v>
      </c>
      <c r="H608">
        <v>181009160103</v>
      </c>
      <c r="I608" t="str">
        <f>CashIntraTable[Portfolio]&amp;VALUE(CashIntraTable[Cash Date])&amp;CashIntraTable[Detail]</f>
        <v>SCBRM4433841.2. Switch-in</v>
      </c>
    </row>
    <row r="609" spans="1:9" x14ac:dyDescent="0.2">
      <c r="A609" t="s">
        <v>513</v>
      </c>
      <c r="B609" t="s">
        <v>23</v>
      </c>
      <c r="C609" s="50">
        <v>43391</v>
      </c>
      <c r="D609" t="s">
        <v>446</v>
      </c>
      <c r="E609">
        <v>6026.21</v>
      </c>
      <c r="F609" t="s">
        <v>378</v>
      </c>
      <c r="G609" t="s">
        <v>447</v>
      </c>
      <c r="H609">
        <v>181009160103</v>
      </c>
      <c r="I609" t="str">
        <f>CashIntraTable[Portfolio]&amp;VALUE(CashIntraTable[Cash Date])&amp;CashIntraTable[Detail]</f>
        <v>SCBRM4433911.2. Switch-in</v>
      </c>
    </row>
    <row r="610" spans="1:9" x14ac:dyDescent="0.2">
      <c r="A610" t="s">
        <v>513</v>
      </c>
      <c r="B610" t="s">
        <v>23</v>
      </c>
      <c r="C610" s="50">
        <v>43382</v>
      </c>
      <c r="D610" t="s">
        <v>446</v>
      </c>
      <c r="E610">
        <v>-1497723.84</v>
      </c>
      <c r="F610" t="s">
        <v>379</v>
      </c>
      <c r="G610" t="s">
        <v>447</v>
      </c>
      <c r="H610">
        <v>181009160103</v>
      </c>
      <c r="I610" t="str">
        <f>CashIntraTable[Portfolio]&amp;VALUE(CashIntraTable[Cash Date])&amp;CashIntraTable[Detail]</f>
        <v>SCBRM4433822.1. Redemption</v>
      </c>
    </row>
    <row r="611" spans="1:9" x14ac:dyDescent="0.2">
      <c r="A611" t="s">
        <v>513</v>
      </c>
      <c r="B611" t="s">
        <v>23</v>
      </c>
      <c r="C611" s="50">
        <v>43383</v>
      </c>
      <c r="D611" t="s">
        <v>446</v>
      </c>
      <c r="E611">
        <v>-722261.69</v>
      </c>
      <c r="F611" t="s">
        <v>379</v>
      </c>
      <c r="G611" t="s">
        <v>447</v>
      </c>
      <c r="H611">
        <v>181009160103</v>
      </c>
      <c r="I611" t="str">
        <f>CashIntraTable[Portfolio]&amp;VALUE(CashIntraTable[Cash Date])&amp;CashIntraTable[Detail]</f>
        <v>SCBRM4433832.1. Redemption</v>
      </c>
    </row>
    <row r="612" spans="1:9" x14ac:dyDescent="0.2">
      <c r="A612" t="s">
        <v>513</v>
      </c>
      <c r="B612" t="s">
        <v>23</v>
      </c>
      <c r="C612" s="50">
        <v>43384</v>
      </c>
      <c r="D612" t="s">
        <v>446</v>
      </c>
      <c r="E612">
        <v>-1215072.42</v>
      </c>
      <c r="F612" t="s">
        <v>379</v>
      </c>
      <c r="G612" t="s">
        <v>447</v>
      </c>
      <c r="H612">
        <v>181009160103</v>
      </c>
      <c r="I612" t="str">
        <f>CashIntraTable[Portfolio]&amp;VALUE(CashIntraTable[Cash Date])&amp;CashIntraTable[Detail]</f>
        <v>SCBRM4433842.1. Redemption</v>
      </c>
    </row>
    <row r="613" spans="1:9" x14ac:dyDescent="0.2">
      <c r="A613" t="s">
        <v>513</v>
      </c>
      <c r="B613" t="s">
        <v>23</v>
      </c>
      <c r="C613" s="50">
        <v>43382</v>
      </c>
      <c r="D613" t="s">
        <v>446</v>
      </c>
      <c r="E613">
        <v>-1985661.59</v>
      </c>
      <c r="F613" t="s">
        <v>380</v>
      </c>
      <c r="G613" t="s">
        <v>447</v>
      </c>
      <c r="H613">
        <v>181009160103</v>
      </c>
      <c r="I613" t="str">
        <f>CashIntraTable[Portfolio]&amp;VALUE(CashIntraTable[Cash Date])&amp;CashIntraTable[Detail]</f>
        <v>SCBRM4433822.2. Switch-out</v>
      </c>
    </row>
    <row r="614" spans="1:9" x14ac:dyDescent="0.2">
      <c r="A614" t="s">
        <v>513</v>
      </c>
      <c r="B614" t="s">
        <v>23</v>
      </c>
      <c r="C614" s="50">
        <v>43383</v>
      </c>
      <c r="D614" t="s">
        <v>446</v>
      </c>
      <c r="E614">
        <v>-991105.42</v>
      </c>
      <c r="F614" t="s">
        <v>380</v>
      </c>
      <c r="G614" t="s">
        <v>447</v>
      </c>
      <c r="H614">
        <v>181009160103</v>
      </c>
      <c r="I614" t="str">
        <f>CashIntraTable[Portfolio]&amp;VALUE(CashIntraTable[Cash Date])&amp;CashIntraTable[Detail]</f>
        <v>SCBRM4433832.2. Switch-out</v>
      </c>
    </row>
    <row r="615" spans="1:9" x14ac:dyDescent="0.2">
      <c r="A615" t="s">
        <v>513</v>
      </c>
      <c r="B615" t="s">
        <v>23</v>
      </c>
      <c r="C615" s="50">
        <v>43384</v>
      </c>
      <c r="D615" t="s">
        <v>446</v>
      </c>
      <c r="E615">
        <v>-3086166.3</v>
      </c>
      <c r="F615" t="s">
        <v>380</v>
      </c>
      <c r="G615" t="s">
        <v>447</v>
      </c>
      <c r="H615">
        <v>181009160103</v>
      </c>
      <c r="I615" t="str">
        <f>CashIntraTable[Portfolio]&amp;VALUE(CashIntraTable[Cash Date])&amp;CashIntraTable[Detail]</f>
        <v>SCBRM4433842.2. Switch-out</v>
      </c>
    </row>
    <row r="616" spans="1:9" x14ac:dyDescent="0.2">
      <c r="A616" t="s">
        <v>514</v>
      </c>
      <c r="B616" t="s">
        <v>23</v>
      </c>
      <c r="C616" s="50">
        <v>43382</v>
      </c>
      <c r="D616" t="s">
        <v>446</v>
      </c>
      <c r="E616">
        <v>7000</v>
      </c>
      <c r="F616" t="s">
        <v>377</v>
      </c>
      <c r="G616" t="s">
        <v>447</v>
      </c>
      <c r="H616">
        <v>181009160103</v>
      </c>
      <c r="I616" t="str">
        <f>CashIntraTable[Portfolio]&amp;VALUE(CashIntraTable[Cash Date])&amp;CashIntraTable[Detail]</f>
        <v>SCBRMEU433821.1. Subscription</v>
      </c>
    </row>
    <row r="617" spans="1:9" x14ac:dyDescent="0.2">
      <c r="A617" t="s">
        <v>514</v>
      </c>
      <c r="B617" t="s">
        <v>23</v>
      </c>
      <c r="C617" s="50">
        <v>43383</v>
      </c>
      <c r="D617" t="s">
        <v>446</v>
      </c>
      <c r="E617">
        <v>6000</v>
      </c>
      <c r="F617" t="s">
        <v>377</v>
      </c>
      <c r="G617" t="s">
        <v>447</v>
      </c>
      <c r="H617">
        <v>181009160103</v>
      </c>
      <c r="I617" t="str">
        <f>CashIntraTable[Portfolio]&amp;VALUE(CashIntraTable[Cash Date])&amp;CashIntraTable[Detail]</f>
        <v>SCBRMEU433831.1. Subscription</v>
      </c>
    </row>
    <row r="618" spans="1:9" x14ac:dyDescent="0.2">
      <c r="A618" t="s">
        <v>514</v>
      </c>
      <c r="B618" t="s">
        <v>23</v>
      </c>
      <c r="C618" s="50">
        <v>43382</v>
      </c>
      <c r="D618" t="s">
        <v>446</v>
      </c>
      <c r="E618">
        <v>11000</v>
      </c>
      <c r="F618" t="s">
        <v>381</v>
      </c>
      <c r="G618" t="s">
        <v>447</v>
      </c>
      <c r="H618">
        <v>181009160103</v>
      </c>
      <c r="I618" t="str">
        <f>CashIntraTable[Portfolio]&amp;VALUE(CashIntraTable[Cash Date])&amp;CashIntraTable[Detail]</f>
        <v>SCBRMEU433821.1. Subscription (Chq)</v>
      </c>
    </row>
    <row r="619" spans="1:9" x14ac:dyDescent="0.2">
      <c r="A619" t="s">
        <v>514</v>
      </c>
      <c r="B619" t="s">
        <v>23</v>
      </c>
      <c r="C619" s="50">
        <v>43383</v>
      </c>
      <c r="D619" t="s">
        <v>446</v>
      </c>
      <c r="E619">
        <v>10000</v>
      </c>
      <c r="F619" t="s">
        <v>381</v>
      </c>
      <c r="G619" t="s">
        <v>447</v>
      </c>
      <c r="H619">
        <v>181009160103</v>
      </c>
      <c r="I619" t="str">
        <f>CashIntraTable[Portfolio]&amp;VALUE(CashIntraTable[Cash Date])&amp;CashIntraTable[Detail]</f>
        <v>SCBRMEU433831.1. Subscription (Chq)</v>
      </c>
    </row>
    <row r="620" spans="1:9" x14ac:dyDescent="0.2">
      <c r="A620" t="s">
        <v>514</v>
      </c>
      <c r="B620" t="s">
        <v>23</v>
      </c>
      <c r="C620" s="50">
        <v>43382</v>
      </c>
      <c r="D620" t="s">
        <v>446</v>
      </c>
      <c r="E620">
        <v>50680.37</v>
      </c>
      <c r="F620" t="s">
        <v>378</v>
      </c>
      <c r="G620" t="s">
        <v>447</v>
      </c>
      <c r="H620">
        <v>181009160103</v>
      </c>
      <c r="I620" t="str">
        <f>CashIntraTable[Portfolio]&amp;VALUE(CashIntraTable[Cash Date])&amp;CashIntraTable[Detail]</f>
        <v>SCBRMEU433821.2. Switch-in</v>
      </c>
    </row>
    <row r="621" spans="1:9" x14ac:dyDescent="0.2">
      <c r="A621" t="s">
        <v>514</v>
      </c>
      <c r="B621" t="s">
        <v>23</v>
      </c>
      <c r="C621" s="50">
        <v>43383</v>
      </c>
      <c r="D621" t="s">
        <v>446</v>
      </c>
      <c r="E621">
        <v>580000</v>
      </c>
      <c r="F621" t="s">
        <v>378</v>
      </c>
      <c r="G621" t="s">
        <v>447</v>
      </c>
      <c r="H621">
        <v>181009160103</v>
      </c>
      <c r="I621" t="str">
        <f>CashIntraTable[Portfolio]&amp;VALUE(CashIntraTable[Cash Date])&amp;CashIntraTable[Detail]</f>
        <v>SCBRMEU433831.2. Switch-in</v>
      </c>
    </row>
    <row r="622" spans="1:9" x14ac:dyDescent="0.2">
      <c r="A622" t="s">
        <v>514</v>
      </c>
      <c r="B622" t="s">
        <v>23</v>
      </c>
      <c r="C622" s="50">
        <v>43384</v>
      </c>
      <c r="D622" t="s">
        <v>446</v>
      </c>
      <c r="E622">
        <v>206136.95999999999</v>
      </c>
      <c r="F622" t="s">
        <v>378</v>
      </c>
      <c r="G622" t="s">
        <v>447</v>
      </c>
      <c r="H622">
        <v>181009160103</v>
      </c>
      <c r="I622" t="str">
        <f>CashIntraTable[Portfolio]&amp;VALUE(CashIntraTable[Cash Date])&amp;CashIntraTable[Detail]</f>
        <v>SCBRMEU433841.2. Switch-in</v>
      </c>
    </row>
    <row r="623" spans="1:9" x14ac:dyDescent="0.2">
      <c r="A623" t="s">
        <v>514</v>
      </c>
      <c r="B623" t="s">
        <v>23</v>
      </c>
      <c r="C623" s="50">
        <v>43382</v>
      </c>
      <c r="D623" t="s">
        <v>446</v>
      </c>
      <c r="E623">
        <v>-34059.67</v>
      </c>
      <c r="F623" t="s">
        <v>380</v>
      </c>
      <c r="G623" t="s">
        <v>447</v>
      </c>
      <c r="H623">
        <v>181009160103</v>
      </c>
      <c r="I623" t="str">
        <f>CashIntraTable[Portfolio]&amp;VALUE(CashIntraTable[Cash Date])&amp;CashIntraTable[Detail]</f>
        <v>SCBRMEU433822.2. Switch-out</v>
      </c>
    </row>
    <row r="624" spans="1:9" x14ac:dyDescent="0.2">
      <c r="A624" t="s">
        <v>514</v>
      </c>
      <c r="B624" t="s">
        <v>23</v>
      </c>
      <c r="C624" s="50">
        <v>43383</v>
      </c>
      <c r="D624" t="s">
        <v>446</v>
      </c>
      <c r="E624">
        <v>-87784.45</v>
      </c>
      <c r="F624" t="s">
        <v>380</v>
      </c>
      <c r="G624" t="s">
        <v>447</v>
      </c>
      <c r="H624">
        <v>181009160103</v>
      </c>
      <c r="I624" t="str">
        <f>CashIntraTable[Portfolio]&amp;VALUE(CashIntraTable[Cash Date])&amp;CashIntraTable[Detail]</f>
        <v>SCBRMEU433832.2. Switch-out</v>
      </c>
    </row>
    <row r="625" spans="1:9" x14ac:dyDescent="0.2">
      <c r="A625" t="s">
        <v>514</v>
      </c>
      <c r="B625" t="s">
        <v>23</v>
      </c>
      <c r="C625" s="50">
        <v>43384</v>
      </c>
      <c r="D625" t="s">
        <v>446</v>
      </c>
      <c r="E625">
        <v>-1962.45</v>
      </c>
      <c r="F625" t="s">
        <v>380</v>
      </c>
      <c r="G625" t="s">
        <v>447</v>
      </c>
      <c r="H625">
        <v>181009160103</v>
      </c>
      <c r="I625" t="str">
        <f>CashIntraTable[Portfolio]&amp;VALUE(CashIntraTable[Cash Date])&amp;CashIntraTable[Detail]</f>
        <v>SCBRMEU433842.2. Switch-out</v>
      </c>
    </row>
    <row r="626" spans="1:9" x14ac:dyDescent="0.2">
      <c r="A626" t="s">
        <v>514</v>
      </c>
      <c r="B626" t="s">
        <v>23</v>
      </c>
      <c r="C626" s="50">
        <v>43385</v>
      </c>
      <c r="D626" t="s">
        <v>446</v>
      </c>
      <c r="E626">
        <v>-9525.74</v>
      </c>
      <c r="F626" t="s">
        <v>380</v>
      </c>
      <c r="G626" t="s">
        <v>447</v>
      </c>
      <c r="H626">
        <v>181009160103</v>
      </c>
      <c r="I626" t="str">
        <f>CashIntraTable[Portfolio]&amp;VALUE(CashIntraTable[Cash Date])&amp;CashIntraTable[Detail]</f>
        <v>SCBRMEU433852.2. Switch-out</v>
      </c>
    </row>
    <row r="627" spans="1:9" x14ac:dyDescent="0.2">
      <c r="A627" t="s">
        <v>515</v>
      </c>
      <c r="B627" t="s">
        <v>23</v>
      </c>
      <c r="C627" s="50">
        <v>43383</v>
      </c>
      <c r="D627" t="s">
        <v>446</v>
      </c>
      <c r="E627">
        <v>47000</v>
      </c>
      <c r="F627" t="s">
        <v>377</v>
      </c>
      <c r="G627" t="s">
        <v>447</v>
      </c>
      <c r="H627">
        <v>181009160103</v>
      </c>
      <c r="I627" t="str">
        <f>CashIntraTable[Portfolio]&amp;VALUE(CashIntraTable[Cash Date])&amp;CashIntraTable[Detail]</f>
        <v>SCBRMGHC433831.1. Subscription</v>
      </c>
    </row>
    <row r="628" spans="1:9" x14ac:dyDescent="0.2">
      <c r="A628" t="s">
        <v>515</v>
      </c>
      <c r="B628" t="s">
        <v>23</v>
      </c>
      <c r="C628" s="50">
        <v>43383</v>
      </c>
      <c r="D628" t="s">
        <v>446</v>
      </c>
      <c r="E628">
        <v>224200</v>
      </c>
      <c r="F628" t="s">
        <v>381</v>
      </c>
      <c r="G628" t="s">
        <v>447</v>
      </c>
      <c r="H628">
        <v>181009160103</v>
      </c>
      <c r="I628" t="str">
        <f>CashIntraTable[Portfolio]&amp;VALUE(CashIntraTable[Cash Date])&amp;CashIntraTable[Detail]</f>
        <v>SCBRMGHC433831.1. Subscription (Chq)</v>
      </c>
    </row>
    <row r="629" spans="1:9" x14ac:dyDescent="0.2">
      <c r="A629" t="s">
        <v>515</v>
      </c>
      <c r="B629" t="s">
        <v>23</v>
      </c>
      <c r="C629" s="50">
        <v>43382</v>
      </c>
      <c r="D629" t="s">
        <v>446</v>
      </c>
      <c r="E629">
        <v>30000</v>
      </c>
      <c r="F629" t="s">
        <v>378</v>
      </c>
      <c r="G629" t="s">
        <v>447</v>
      </c>
      <c r="H629">
        <v>181009160103</v>
      </c>
      <c r="I629" t="str">
        <f>CashIntraTable[Portfolio]&amp;VALUE(CashIntraTable[Cash Date])&amp;CashIntraTable[Detail]</f>
        <v>SCBRMGHC433821.2. Switch-in</v>
      </c>
    </row>
    <row r="630" spans="1:9" x14ac:dyDescent="0.2">
      <c r="A630" t="s">
        <v>515</v>
      </c>
      <c r="B630" t="s">
        <v>23</v>
      </c>
      <c r="C630" s="50">
        <v>43384</v>
      </c>
      <c r="D630" t="s">
        <v>446</v>
      </c>
      <c r="E630">
        <v>118857.35</v>
      </c>
      <c r="F630" t="s">
        <v>378</v>
      </c>
      <c r="G630" t="s">
        <v>447</v>
      </c>
      <c r="H630">
        <v>181009160103</v>
      </c>
      <c r="I630" t="str">
        <f>CashIntraTable[Portfolio]&amp;VALUE(CashIntraTable[Cash Date])&amp;CashIntraTable[Detail]</f>
        <v>SCBRMGHC433841.2. Switch-in</v>
      </c>
    </row>
    <row r="631" spans="1:9" x14ac:dyDescent="0.2">
      <c r="A631" t="s">
        <v>515</v>
      </c>
      <c r="B631" t="s">
        <v>23</v>
      </c>
      <c r="C631" s="50">
        <v>43385</v>
      </c>
      <c r="D631" t="s">
        <v>446</v>
      </c>
      <c r="E631">
        <v>80000</v>
      </c>
      <c r="F631" t="s">
        <v>378</v>
      </c>
      <c r="G631" t="s">
        <v>447</v>
      </c>
      <c r="H631">
        <v>181009160103</v>
      </c>
      <c r="I631" t="str">
        <f>CashIntraTable[Portfolio]&amp;VALUE(CashIntraTable[Cash Date])&amp;CashIntraTable[Detail]</f>
        <v>SCBRMGHC433851.2. Switch-in</v>
      </c>
    </row>
    <row r="632" spans="1:9" x14ac:dyDescent="0.2">
      <c r="A632" t="s">
        <v>515</v>
      </c>
      <c r="B632" t="s">
        <v>23</v>
      </c>
      <c r="C632" s="50">
        <v>43384</v>
      </c>
      <c r="D632" t="s">
        <v>446</v>
      </c>
      <c r="E632">
        <v>-9933.8799999999992</v>
      </c>
      <c r="F632" t="s">
        <v>379</v>
      </c>
      <c r="G632" t="s">
        <v>447</v>
      </c>
      <c r="H632">
        <v>181009160103</v>
      </c>
      <c r="I632" t="str">
        <f>CashIntraTable[Portfolio]&amp;VALUE(CashIntraTable[Cash Date])&amp;CashIntraTable[Detail]</f>
        <v>SCBRMGHC433842.1. Redemption</v>
      </c>
    </row>
    <row r="633" spans="1:9" x14ac:dyDescent="0.2">
      <c r="A633" t="s">
        <v>515</v>
      </c>
      <c r="B633" t="s">
        <v>23</v>
      </c>
      <c r="C633" s="50">
        <v>43390</v>
      </c>
      <c r="D633" t="s">
        <v>446</v>
      </c>
      <c r="E633">
        <v>-204557.99</v>
      </c>
      <c r="F633" t="s">
        <v>380</v>
      </c>
      <c r="G633" t="s">
        <v>447</v>
      </c>
      <c r="H633">
        <v>181009160103</v>
      </c>
      <c r="I633" t="str">
        <f>CashIntraTable[Portfolio]&amp;VALUE(CashIntraTable[Cash Date])&amp;CashIntraTable[Detail]</f>
        <v>SCBRMGHC433902.2. Switch-out</v>
      </c>
    </row>
    <row r="634" spans="1:9" x14ac:dyDescent="0.2">
      <c r="A634" t="s">
        <v>516</v>
      </c>
      <c r="B634" t="s">
        <v>23</v>
      </c>
      <c r="C634" s="50">
        <v>43382</v>
      </c>
      <c r="D634" t="s">
        <v>446</v>
      </c>
      <c r="E634">
        <v>101000</v>
      </c>
      <c r="F634" t="s">
        <v>377</v>
      </c>
      <c r="G634" t="s">
        <v>447</v>
      </c>
      <c r="H634">
        <v>181009160103</v>
      </c>
      <c r="I634" t="str">
        <f>CashIntraTable[Portfolio]&amp;VALUE(CashIntraTable[Cash Date])&amp;CashIntraTable[Detail]</f>
        <v>SCBRMGIF433821.1. Subscription</v>
      </c>
    </row>
    <row r="635" spans="1:9" x14ac:dyDescent="0.2">
      <c r="A635" t="s">
        <v>516</v>
      </c>
      <c r="B635" t="s">
        <v>23</v>
      </c>
      <c r="C635" s="50">
        <v>43383</v>
      </c>
      <c r="D635" t="s">
        <v>446</v>
      </c>
      <c r="E635">
        <v>507000</v>
      </c>
      <c r="F635" t="s">
        <v>377</v>
      </c>
      <c r="G635" t="s">
        <v>447</v>
      </c>
      <c r="H635">
        <v>181009160103</v>
      </c>
      <c r="I635" t="str">
        <f>CashIntraTable[Portfolio]&amp;VALUE(CashIntraTable[Cash Date])&amp;CashIntraTable[Detail]</f>
        <v>SCBRMGIF433831.1. Subscription</v>
      </c>
    </row>
    <row r="636" spans="1:9" x14ac:dyDescent="0.2">
      <c r="A636" t="s">
        <v>516</v>
      </c>
      <c r="B636" t="s">
        <v>23</v>
      </c>
      <c r="C636" s="50">
        <v>43382</v>
      </c>
      <c r="D636" t="s">
        <v>446</v>
      </c>
      <c r="E636">
        <v>10000</v>
      </c>
      <c r="F636" t="s">
        <v>381</v>
      </c>
      <c r="G636" t="s">
        <v>447</v>
      </c>
      <c r="H636">
        <v>181009160103</v>
      </c>
      <c r="I636" t="str">
        <f>CashIntraTable[Portfolio]&amp;VALUE(CashIntraTable[Cash Date])&amp;CashIntraTable[Detail]</f>
        <v>SCBRMGIF433821.1. Subscription (Chq)</v>
      </c>
    </row>
    <row r="637" spans="1:9" x14ac:dyDescent="0.2">
      <c r="A637" t="s">
        <v>516</v>
      </c>
      <c r="B637" t="s">
        <v>23</v>
      </c>
      <c r="C637" s="50">
        <v>43384</v>
      </c>
      <c r="D637" t="s">
        <v>446</v>
      </c>
      <c r="E637">
        <v>100000</v>
      </c>
      <c r="F637" t="s">
        <v>378</v>
      </c>
      <c r="G637" t="s">
        <v>447</v>
      </c>
      <c r="H637">
        <v>181009160103</v>
      </c>
      <c r="I637" t="str">
        <f>CashIntraTable[Portfolio]&amp;VALUE(CashIntraTable[Cash Date])&amp;CashIntraTable[Detail]</f>
        <v>SCBRMGIF433841.2. Switch-in</v>
      </c>
    </row>
    <row r="638" spans="1:9" x14ac:dyDescent="0.2">
      <c r="A638" t="s">
        <v>516</v>
      </c>
      <c r="B638" t="s">
        <v>23</v>
      </c>
      <c r="C638" s="50">
        <v>43389</v>
      </c>
      <c r="D638" t="s">
        <v>446</v>
      </c>
      <c r="E638">
        <v>-146737.64000000001</v>
      </c>
      <c r="F638" t="s">
        <v>379</v>
      </c>
      <c r="G638" t="s">
        <v>447</v>
      </c>
      <c r="H638">
        <v>181009160103</v>
      </c>
      <c r="I638" t="str">
        <f>CashIntraTable[Portfolio]&amp;VALUE(CashIntraTable[Cash Date])&amp;CashIntraTable[Detail]</f>
        <v>SCBRMGIF433892.1. Redemption</v>
      </c>
    </row>
    <row r="639" spans="1:9" x14ac:dyDescent="0.2">
      <c r="A639" t="s">
        <v>516</v>
      </c>
      <c r="B639" t="s">
        <v>23</v>
      </c>
      <c r="C639" s="50">
        <v>43382</v>
      </c>
      <c r="D639" t="s">
        <v>446</v>
      </c>
      <c r="E639">
        <v>-31502.02</v>
      </c>
      <c r="F639" t="s">
        <v>380</v>
      </c>
      <c r="G639" t="s">
        <v>447</v>
      </c>
      <c r="H639">
        <v>181009160103</v>
      </c>
      <c r="I639" t="str">
        <f>CashIntraTable[Portfolio]&amp;VALUE(CashIntraTable[Cash Date])&amp;CashIntraTable[Detail]</f>
        <v>SCBRMGIF433822.2. Switch-out</v>
      </c>
    </row>
    <row r="640" spans="1:9" x14ac:dyDescent="0.2">
      <c r="A640" t="s">
        <v>517</v>
      </c>
      <c r="B640" t="s">
        <v>23</v>
      </c>
      <c r="C640" s="50">
        <v>43384</v>
      </c>
      <c r="D640" t="s">
        <v>446</v>
      </c>
      <c r="E640">
        <v>100000</v>
      </c>
      <c r="F640" t="s">
        <v>378</v>
      </c>
      <c r="G640" t="s">
        <v>447</v>
      </c>
      <c r="H640">
        <v>181009160103</v>
      </c>
      <c r="I640" t="str">
        <f>CashIntraTable[Portfolio]&amp;VALUE(CashIntraTable[Cash Date])&amp;CashIntraTable[Detail]</f>
        <v>SCBRMGW433841.2. Switch-in</v>
      </c>
    </row>
    <row r="641" spans="1:9" x14ac:dyDescent="0.2">
      <c r="A641" t="s">
        <v>517</v>
      </c>
      <c r="B641" t="s">
        <v>23</v>
      </c>
      <c r="C641" s="50">
        <v>43391</v>
      </c>
      <c r="D641" t="s">
        <v>446</v>
      </c>
      <c r="E641">
        <v>-35003.1</v>
      </c>
      <c r="F641" t="s">
        <v>379</v>
      </c>
      <c r="G641" t="s">
        <v>447</v>
      </c>
      <c r="H641">
        <v>181009160103</v>
      </c>
      <c r="I641" t="str">
        <f>CashIntraTable[Portfolio]&amp;VALUE(CashIntraTable[Cash Date])&amp;CashIntraTable[Detail]</f>
        <v>SCBRMGW433912.1. Redemption</v>
      </c>
    </row>
    <row r="642" spans="1:9" x14ac:dyDescent="0.2">
      <c r="A642" t="s">
        <v>517</v>
      </c>
      <c r="B642" t="s">
        <v>23</v>
      </c>
      <c r="C642" s="50">
        <v>43391</v>
      </c>
      <c r="D642" t="s">
        <v>446</v>
      </c>
      <c r="E642">
        <v>-5056.38</v>
      </c>
      <c r="F642" t="s">
        <v>380</v>
      </c>
      <c r="G642" t="s">
        <v>447</v>
      </c>
      <c r="H642">
        <v>181009160103</v>
      </c>
      <c r="I642" t="str">
        <f>CashIntraTable[Portfolio]&amp;VALUE(CashIntraTable[Cash Date])&amp;CashIntraTable[Detail]</f>
        <v>SCBRMGW433912.2. Switch-out</v>
      </c>
    </row>
    <row r="643" spans="1:9" x14ac:dyDescent="0.2">
      <c r="A643" t="s">
        <v>518</v>
      </c>
      <c r="B643" t="s">
        <v>23</v>
      </c>
      <c r="C643" s="50">
        <v>43383</v>
      </c>
      <c r="D643" t="s">
        <v>446</v>
      </c>
      <c r="E643">
        <v>21000</v>
      </c>
      <c r="F643" t="s">
        <v>377</v>
      </c>
      <c r="G643" t="s">
        <v>447</v>
      </c>
      <c r="H643">
        <v>181009160103</v>
      </c>
      <c r="I643" t="str">
        <f>CashIntraTable[Portfolio]&amp;VALUE(CashIntraTable[Cash Date])&amp;CashIntraTable[Detail]</f>
        <v>SCBRMGWP433831.1. Subscription</v>
      </c>
    </row>
    <row r="644" spans="1:9" x14ac:dyDescent="0.2">
      <c r="A644" t="s">
        <v>518</v>
      </c>
      <c r="B644" t="s">
        <v>23</v>
      </c>
      <c r="C644" s="50">
        <v>43383</v>
      </c>
      <c r="D644" t="s">
        <v>446</v>
      </c>
      <c r="E644">
        <v>10000</v>
      </c>
      <c r="F644" t="s">
        <v>381</v>
      </c>
      <c r="G644" t="s">
        <v>447</v>
      </c>
      <c r="H644">
        <v>181009160103</v>
      </c>
      <c r="I644" t="str">
        <f>CashIntraTable[Portfolio]&amp;VALUE(CashIntraTable[Cash Date])&amp;CashIntraTable[Detail]</f>
        <v>SCBRMGWP433831.1. Subscription (Chq)</v>
      </c>
    </row>
    <row r="645" spans="1:9" x14ac:dyDescent="0.2">
      <c r="A645" t="s">
        <v>518</v>
      </c>
      <c r="B645" t="s">
        <v>23</v>
      </c>
      <c r="C645" s="50">
        <v>43384</v>
      </c>
      <c r="D645" t="s">
        <v>446</v>
      </c>
      <c r="E645">
        <v>100000</v>
      </c>
      <c r="F645" t="s">
        <v>378</v>
      </c>
      <c r="G645" t="s">
        <v>447</v>
      </c>
      <c r="H645">
        <v>181009160103</v>
      </c>
      <c r="I645" t="str">
        <f>CashIntraTable[Portfolio]&amp;VALUE(CashIntraTable[Cash Date])&amp;CashIntraTable[Detail]</f>
        <v>SCBRMGWP433841.2. Switch-in</v>
      </c>
    </row>
    <row r="646" spans="1:9" x14ac:dyDescent="0.2">
      <c r="A646" t="s">
        <v>518</v>
      </c>
      <c r="B646" t="s">
        <v>23</v>
      </c>
      <c r="C646" s="50">
        <v>43391</v>
      </c>
      <c r="D646" t="s">
        <v>446</v>
      </c>
      <c r="E646">
        <v>-11090.74</v>
      </c>
      <c r="F646" t="s">
        <v>380</v>
      </c>
      <c r="G646" t="s">
        <v>447</v>
      </c>
      <c r="H646">
        <v>181009160103</v>
      </c>
      <c r="I646" t="str">
        <f>CashIntraTable[Portfolio]&amp;VALUE(CashIntraTable[Cash Date])&amp;CashIntraTable[Detail]</f>
        <v>SCBRMGWP433912.2. Switch-out</v>
      </c>
    </row>
    <row r="647" spans="1:9" x14ac:dyDescent="0.2">
      <c r="A647" t="s">
        <v>519</v>
      </c>
      <c r="B647" t="s">
        <v>23</v>
      </c>
      <c r="C647" s="50">
        <v>43383</v>
      </c>
      <c r="D647" t="s">
        <v>446</v>
      </c>
      <c r="E647">
        <v>51000</v>
      </c>
      <c r="F647" t="s">
        <v>377</v>
      </c>
      <c r="G647" t="s">
        <v>447</v>
      </c>
      <c r="H647">
        <v>181009160103</v>
      </c>
      <c r="I647" t="str">
        <f>CashIntraTable[Portfolio]&amp;VALUE(CashIntraTable[Cash Date])&amp;CashIntraTable[Detail]</f>
        <v>SCBRMJP433831.1. Subscription</v>
      </c>
    </row>
    <row r="648" spans="1:9" x14ac:dyDescent="0.2">
      <c r="A648" t="s">
        <v>519</v>
      </c>
      <c r="B648" t="s">
        <v>23</v>
      </c>
      <c r="C648" s="50">
        <v>43383</v>
      </c>
      <c r="D648" t="s">
        <v>446</v>
      </c>
      <c r="E648">
        <v>59500</v>
      </c>
      <c r="F648" t="s">
        <v>381</v>
      </c>
      <c r="G648" t="s">
        <v>447</v>
      </c>
      <c r="H648">
        <v>181009160103</v>
      </c>
      <c r="I648" t="str">
        <f>CashIntraTable[Portfolio]&amp;VALUE(CashIntraTable[Cash Date])&amp;CashIntraTable[Detail]</f>
        <v>SCBRMJP433831.1. Subscription (Chq)</v>
      </c>
    </row>
    <row r="649" spans="1:9" x14ac:dyDescent="0.2">
      <c r="A649" t="s">
        <v>519</v>
      </c>
      <c r="B649" t="s">
        <v>23</v>
      </c>
      <c r="C649" s="50">
        <v>43382</v>
      </c>
      <c r="D649" t="s">
        <v>446</v>
      </c>
      <c r="E649">
        <v>514780.64</v>
      </c>
      <c r="F649" t="s">
        <v>378</v>
      </c>
      <c r="G649" t="s">
        <v>447</v>
      </c>
      <c r="H649">
        <v>181009160103</v>
      </c>
      <c r="I649" t="str">
        <f>CashIntraTable[Portfolio]&amp;VALUE(CashIntraTable[Cash Date])&amp;CashIntraTable[Detail]</f>
        <v>SCBRMJP433821.2. Switch-in</v>
      </c>
    </row>
    <row r="650" spans="1:9" x14ac:dyDescent="0.2">
      <c r="A650" t="s">
        <v>519</v>
      </c>
      <c r="B650" t="s">
        <v>23</v>
      </c>
      <c r="C650" s="50">
        <v>43384</v>
      </c>
      <c r="D650" t="s">
        <v>446</v>
      </c>
      <c r="E650">
        <v>808255.14</v>
      </c>
      <c r="F650" t="s">
        <v>378</v>
      </c>
      <c r="G650" t="s">
        <v>447</v>
      </c>
      <c r="H650">
        <v>181009160103</v>
      </c>
      <c r="I650" t="str">
        <f>CashIntraTable[Portfolio]&amp;VALUE(CashIntraTable[Cash Date])&amp;CashIntraTable[Detail]</f>
        <v>SCBRMJP433841.2. Switch-in</v>
      </c>
    </row>
    <row r="651" spans="1:9" x14ac:dyDescent="0.2">
      <c r="A651" t="s">
        <v>519</v>
      </c>
      <c r="B651" t="s">
        <v>23</v>
      </c>
      <c r="C651" s="50">
        <v>43385</v>
      </c>
      <c r="D651" t="s">
        <v>446</v>
      </c>
      <c r="E651">
        <v>9525.74</v>
      </c>
      <c r="F651" t="s">
        <v>378</v>
      </c>
      <c r="G651" t="s">
        <v>447</v>
      </c>
      <c r="H651">
        <v>181009160103</v>
      </c>
      <c r="I651" t="str">
        <f>CashIntraTable[Portfolio]&amp;VALUE(CashIntraTable[Cash Date])&amp;CashIntraTable[Detail]</f>
        <v>SCBRMJP433851.2. Switch-in</v>
      </c>
    </row>
    <row r="652" spans="1:9" x14ac:dyDescent="0.2">
      <c r="A652" t="s">
        <v>519</v>
      </c>
      <c r="B652" t="s">
        <v>23</v>
      </c>
      <c r="C652" s="50">
        <v>43383</v>
      </c>
      <c r="D652" t="s">
        <v>446</v>
      </c>
      <c r="E652">
        <v>-3152.4</v>
      </c>
      <c r="F652" t="s">
        <v>379</v>
      </c>
      <c r="G652" t="s">
        <v>447</v>
      </c>
      <c r="H652">
        <v>181009160103</v>
      </c>
      <c r="I652" t="str">
        <f>CashIntraTable[Portfolio]&amp;VALUE(CashIntraTable[Cash Date])&amp;CashIntraTable[Detail]</f>
        <v>SCBRMJP433832.1. Redemption</v>
      </c>
    </row>
    <row r="653" spans="1:9" x14ac:dyDescent="0.2">
      <c r="A653" t="s">
        <v>519</v>
      </c>
      <c r="B653" t="s">
        <v>23</v>
      </c>
      <c r="C653" s="50">
        <v>43384</v>
      </c>
      <c r="D653" t="s">
        <v>446</v>
      </c>
      <c r="E653">
        <v>-316716.65000000002</v>
      </c>
      <c r="F653" t="s">
        <v>380</v>
      </c>
      <c r="G653" t="s">
        <v>447</v>
      </c>
      <c r="H653">
        <v>181009160103</v>
      </c>
      <c r="I653" t="str">
        <f>CashIntraTable[Portfolio]&amp;VALUE(CashIntraTable[Cash Date])&amp;CashIntraTable[Detail]</f>
        <v>SCBRMJP433842.2. Switch-out</v>
      </c>
    </row>
    <row r="654" spans="1:9" x14ac:dyDescent="0.2">
      <c r="A654" t="s">
        <v>519</v>
      </c>
      <c r="B654" t="s">
        <v>23</v>
      </c>
      <c r="C654" s="50">
        <v>43385</v>
      </c>
      <c r="D654" t="s">
        <v>446</v>
      </c>
      <c r="E654">
        <v>-63762.32</v>
      </c>
      <c r="F654" t="s">
        <v>380</v>
      </c>
      <c r="G654" t="s">
        <v>447</v>
      </c>
      <c r="H654">
        <v>181009160103</v>
      </c>
      <c r="I654" t="str">
        <f>CashIntraTable[Portfolio]&amp;VALUE(CashIntraTable[Cash Date])&amp;CashIntraTable[Detail]</f>
        <v>SCBRMJP433852.2. Switch-out</v>
      </c>
    </row>
    <row r="655" spans="1:9" x14ac:dyDescent="0.2">
      <c r="A655" t="s">
        <v>520</v>
      </c>
      <c r="B655" t="s">
        <v>23</v>
      </c>
      <c r="C655" s="50">
        <v>43383</v>
      </c>
      <c r="D655" t="s">
        <v>446</v>
      </c>
      <c r="E655">
        <v>56500</v>
      </c>
      <c r="F655" t="s">
        <v>377</v>
      </c>
      <c r="G655" t="s">
        <v>447</v>
      </c>
      <c r="H655">
        <v>181009160103</v>
      </c>
      <c r="I655" t="str">
        <f>CashIntraTable[Portfolio]&amp;VALUE(CashIntraTable[Cash Date])&amp;CashIntraTable[Detail]</f>
        <v>SCBRMPOP433831.1. Subscription</v>
      </c>
    </row>
    <row r="656" spans="1:9" x14ac:dyDescent="0.2">
      <c r="A656" t="s">
        <v>520</v>
      </c>
      <c r="B656" t="s">
        <v>23</v>
      </c>
      <c r="C656" s="50">
        <v>43383</v>
      </c>
      <c r="D656" t="s">
        <v>446</v>
      </c>
      <c r="E656">
        <v>306000</v>
      </c>
      <c r="F656" t="s">
        <v>381</v>
      </c>
      <c r="G656" t="s">
        <v>447</v>
      </c>
      <c r="H656">
        <v>181009160103</v>
      </c>
      <c r="I656" t="str">
        <f>CashIntraTable[Portfolio]&amp;VALUE(CashIntraTable[Cash Date])&amp;CashIntraTable[Detail]</f>
        <v>SCBRMPOP433831.1. Subscription (Chq)</v>
      </c>
    </row>
    <row r="657" spans="1:9" x14ac:dyDescent="0.2">
      <c r="A657" t="s">
        <v>520</v>
      </c>
      <c r="B657" t="s">
        <v>23</v>
      </c>
      <c r="C657" s="50">
        <v>43384</v>
      </c>
      <c r="D657" t="s">
        <v>446</v>
      </c>
      <c r="E657">
        <v>129991.52</v>
      </c>
      <c r="F657" t="s">
        <v>378</v>
      </c>
      <c r="G657" t="s">
        <v>447</v>
      </c>
      <c r="H657">
        <v>181009160103</v>
      </c>
      <c r="I657" t="str">
        <f>CashIntraTable[Portfolio]&amp;VALUE(CashIntraTable[Cash Date])&amp;CashIntraTable[Detail]</f>
        <v>SCBRMPOP433841.2. Switch-in</v>
      </c>
    </row>
    <row r="658" spans="1:9" x14ac:dyDescent="0.2">
      <c r="A658" t="s">
        <v>520</v>
      </c>
      <c r="B658" t="s">
        <v>23</v>
      </c>
      <c r="C658" s="50">
        <v>43385</v>
      </c>
      <c r="D658" t="s">
        <v>446</v>
      </c>
      <c r="E658">
        <v>-50838</v>
      </c>
      <c r="F658" t="s">
        <v>379</v>
      </c>
      <c r="G658" t="s">
        <v>447</v>
      </c>
      <c r="H658">
        <v>181009160103</v>
      </c>
      <c r="I658" t="str">
        <f>CashIntraTable[Portfolio]&amp;VALUE(CashIntraTable[Cash Date])&amp;CashIntraTable[Detail]</f>
        <v>SCBRMPOP433852.1. Redemption</v>
      </c>
    </row>
    <row r="659" spans="1:9" x14ac:dyDescent="0.2">
      <c r="A659" t="s">
        <v>520</v>
      </c>
      <c r="B659" t="s">
        <v>23</v>
      </c>
      <c r="C659" s="50">
        <v>43382</v>
      </c>
      <c r="D659" t="s">
        <v>446</v>
      </c>
      <c r="E659">
        <v>-469975.44</v>
      </c>
      <c r="F659" t="s">
        <v>380</v>
      </c>
      <c r="G659" t="s">
        <v>447</v>
      </c>
      <c r="H659">
        <v>181009160103</v>
      </c>
      <c r="I659" t="str">
        <f>CashIntraTable[Portfolio]&amp;VALUE(CashIntraTable[Cash Date])&amp;CashIntraTable[Detail]</f>
        <v>SCBRMPOP433822.2. Switch-out</v>
      </c>
    </row>
    <row r="660" spans="1:9" x14ac:dyDescent="0.2">
      <c r="A660" t="s">
        <v>520</v>
      </c>
      <c r="B660" t="s">
        <v>23</v>
      </c>
      <c r="C660" s="50">
        <v>43385</v>
      </c>
      <c r="D660" t="s">
        <v>446</v>
      </c>
      <c r="E660">
        <v>-139549.87</v>
      </c>
      <c r="F660" t="s">
        <v>380</v>
      </c>
      <c r="G660" t="s">
        <v>447</v>
      </c>
      <c r="H660">
        <v>181009160103</v>
      </c>
      <c r="I660" t="str">
        <f>CashIntraTable[Portfolio]&amp;VALUE(CashIntraTable[Cash Date])&amp;CashIntraTable[Detail]</f>
        <v>SCBRMPOP433852.2. Switch-out</v>
      </c>
    </row>
    <row r="661" spans="1:9" x14ac:dyDescent="0.2">
      <c r="A661" t="s">
        <v>521</v>
      </c>
      <c r="B661" t="s">
        <v>23</v>
      </c>
      <c r="C661" s="50">
        <v>43382</v>
      </c>
      <c r="D661" t="s">
        <v>446</v>
      </c>
      <c r="E661">
        <v>1278500</v>
      </c>
      <c r="F661" t="s">
        <v>377</v>
      </c>
      <c r="G661" t="s">
        <v>447</v>
      </c>
      <c r="H661">
        <v>181009160103</v>
      </c>
      <c r="I661" t="str">
        <f>CashIntraTable[Portfolio]&amp;VALUE(CashIntraTable[Cash Date])&amp;CashIntraTable[Detail]</f>
        <v>SCBRMS50433821.1. Subscription</v>
      </c>
    </row>
    <row r="662" spans="1:9" x14ac:dyDescent="0.2">
      <c r="A662" t="s">
        <v>521</v>
      </c>
      <c r="B662" t="s">
        <v>23</v>
      </c>
      <c r="C662" s="50">
        <v>43383</v>
      </c>
      <c r="D662" t="s">
        <v>446</v>
      </c>
      <c r="E662">
        <v>687000</v>
      </c>
      <c r="F662" t="s">
        <v>377</v>
      </c>
      <c r="G662" t="s">
        <v>447</v>
      </c>
      <c r="H662">
        <v>181009160103</v>
      </c>
      <c r="I662" t="str">
        <f>CashIntraTable[Portfolio]&amp;VALUE(CashIntraTable[Cash Date])&amp;CashIntraTable[Detail]</f>
        <v>SCBRMS50433831.1. Subscription</v>
      </c>
    </row>
    <row r="663" spans="1:9" x14ac:dyDescent="0.2">
      <c r="A663" t="s">
        <v>521</v>
      </c>
      <c r="B663" t="s">
        <v>23</v>
      </c>
      <c r="C663" s="50">
        <v>43382</v>
      </c>
      <c r="D663" t="s">
        <v>446</v>
      </c>
      <c r="E663">
        <v>2227500</v>
      </c>
      <c r="F663" t="s">
        <v>381</v>
      </c>
      <c r="G663" t="s">
        <v>447</v>
      </c>
      <c r="H663">
        <v>181009160103</v>
      </c>
      <c r="I663" t="str">
        <f>CashIntraTable[Portfolio]&amp;VALUE(CashIntraTable[Cash Date])&amp;CashIntraTable[Detail]</f>
        <v>SCBRMS50433821.1. Subscription (Chq)</v>
      </c>
    </row>
    <row r="664" spans="1:9" x14ac:dyDescent="0.2">
      <c r="A664" t="s">
        <v>521</v>
      </c>
      <c r="B664" t="s">
        <v>23</v>
      </c>
      <c r="C664" s="50">
        <v>43383</v>
      </c>
      <c r="D664" t="s">
        <v>446</v>
      </c>
      <c r="E664">
        <v>1459000</v>
      </c>
      <c r="F664" t="s">
        <v>381</v>
      </c>
      <c r="G664" t="s">
        <v>447</v>
      </c>
      <c r="H664">
        <v>181009160103</v>
      </c>
      <c r="I664" t="str">
        <f>CashIntraTable[Portfolio]&amp;VALUE(CashIntraTable[Cash Date])&amp;CashIntraTable[Detail]</f>
        <v>SCBRMS50433831.1. Subscription (Chq)</v>
      </c>
    </row>
    <row r="665" spans="1:9" x14ac:dyDescent="0.2">
      <c r="A665" t="s">
        <v>521</v>
      </c>
      <c r="B665" t="s">
        <v>23</v>
      </c>
      <c r="C665" s="50">
        <v>43382</v>
      </c>
      <c r="D665" t="s">
        <v>446</v>
      </c>
      <c r="E665">
        <v>1271176.6100000001</v>
      </c>
      <c r="F665" t="s">
        <v>378</v>
      </c>
      <c r="G665" t="s">
        <v>447</v>
      </c>
      <c r="H665">
        <v>181009160103</v>
      </c>
      <c r="I665" t="str">
        <f>CashIntraTable[Portfolio]&amp;VALUE(CashIntraTable[Cash Date])&amp;CashIntraTable[Detail]</f>
        <v>SCBRMS50433821.2. Switch-in</v>
      </c>
    </row>
    <row r="666" spans="1:9" x14ac:dyDescent="0.2">
      <c r="A666" t="s">
        <v>521</v>
      </c>
      <c r="B666" t="s">
        <v>23</v>
      </c>
      <c r="C666" s="50">
        <v>43383</v>
      </c>
      <c r="D666" t="s">
        <v>446</v>
      </c>
      <c r="E666">
        <v>8433948.0600000005</v>
      </c>
      <c r="F666" t="s">
        <v>378</v>
      </c>
      <c r="G666" t="s">
        <v>447</v>
      </c>
      <c r="H666">
        <v>181009160103</v>
      </c>
      <c r="I666" t="str">
        <f>CashIntraTable[Portfolio]&amp;VALUE(CashIntraTable[Cash Date])&amp;CashIntraTable[Detail]</f>
        <v>SCBRMS50433831.2. Switch-in</v>
      </c>
    </row>
    <row r="667" spans="1:9" x14ac:dyDescent="0.2">
      <c r="A667" t="s">
        <v>521</v>
      </c>
      <c r="B667" t="s">
        <v>23</v>
      </c>
      <c r="C667" s="50">
        <v>43384</v>
      </c>
      <c r="D667" t="s">
        <v>446</v>
      </c>
      <c r="E667">
        <v>5905854.3700000001</v>
      </c>
      <c r="F667" t="s">
        <v>378</v>
      </c>
      <c r="G667" t="s">
        <v>447</v>
      </c>
      <c r="H667">
        <v>181009160103</v>
      </c>
      <c r="I667" t="str">
        <f>CashIntraTable[Portfolio]&amp;VALUE(CashIntraTable[Cash Date])&amp;CashIntraTable[Detail]</f>
        <v>SCBRMS50433841.2. Switch-in</v>
      </c>
    </row>
    <row r="668" spans="1:9" x14ac:dyDescent="0.2">
      <c r="A668" t="s">
        <v>521</v>
      </c>
      <c r="B668" t="s">
        <v>23</v>
      </c>
      <c r="C668" s="50">
        <v>43385</v>
      </c>
      <c r="D668" t="s">
        <v>446</v>
      </c>
      <c r="E668">
        <v>64682.96</v>
      </c>
      <c r="F668" t="s">
        <v>378</v>
      </c>
      <c r="G668" t="s">
        <v>447</v>
      </c>
      <c r="H668">
        <v>181009160103</v>
      </c>
      <c r="I668" t="str">
        <f>CashIntraTable[Portfolio]&amp;VALUE(CashIntraTable[Cash Date])&amp;CashIntraTable[Detail]</f>
        <v>SCBRMS50433851.2. Switch-in</v>
      </c>
    </row>
    <row r="669" spans="1:9" x14ac:dyDescent="0.2">
      <c r="A669" t="s">
        <v>521</v>
      </c>
      <c r="B669" t="s">
        <v>23</v>
      </c>
      <c r="C669" s="50">
        <v>43390</v>
      </c>
      <c r="D669" t="s">
        <v>446</v>
      </c>
      <c r="E669">
        <v>2954.14</v>
      </c>
      <c r="F669" t="s">
        <v>378</v>
      </c>
      <c r="G669" t="s">
        <v>447</v>
      </c>
      <c r="H669">
        <v>181009160103</v>
      </c>
      <c r="I669" t="str">
        <f>CashIntraTable[Portfolio]&amp;VALUE(CashIntraTable[Cash Date])&amp;CashIntraTable[Detail]</f>
        <v>SCBRMS50433901.2. Switch-in</v>
      </c>
    </row>
    <row r="670" spans="1:9" x14ac:dyDescent="0.2">
      <c r="A670" t="s">
        <v>521</v>
      </c>
      <c r="B670" t="s">
        <v>23</v>
      </c>
      <c r="C670" s="50">
        <v>43382</v>
      </c>
      <c r="D670" t="s">
        <v>446</v>
      </c>
      <c r="E670">
        <v>-57225.52</v>
      </c>
      <c r="F670" t="s">
        <v>379</v>
      </c>
      <c r="G670" t="s">
        <v>447</v>
      </c>
      <c r="H670">
        <v>181009160103</v>
      </c>
      <c r="I670" t="str">
        <f>CashIntraTable[Portfolio]&amp;VALUE(CashIntraTable[Cash Date])&amp;CashIntraTable[Detail]</f>
        <v>SCBRMS50433822.1. Redemption</v>
      </c>
    </row>
    <row r="671" spans="1:9" x14ac:dyDescent="0.2">
      <c r="A671" t="s">
        <v>521</v>
      </c>
      <c r="B671" t="s">
        <v>23</v>
      </c>
      <c r="C671" s="50">
        <v>43384</v>
      </c>
      <c r="D671" t="s">
        <v>446</v>
      </c>
      <c r="E671">
        <v>-119160.58</v>
      </c>
      <c r="F671" t="s">
        <v>379</v>
      </c>
      <c r="G671" t="s">
        <v>447</v>
      </c>
      <c r="H671">
        <v>181009160103</v>
      </c>
      <c r="I671" t="str">
        <f>CashIntraTable[Portfolio]&amp;VALUE(CashIntraTable[Cash Date])&amp;CashIntraTable[Detail]</f>
        <v>SCBRMS50433842.1. Redemption</v>
      </c>
    </row>
    <row r="672" spans="1:9" x14ac:dyDescent="0.2">
      <c r="A672" t="s">
        <v>521</v>
      </c>
      <c r="B672" t="s">
        <v>23</v>
      </c>
      <c r="C672" s="50">
        <v>43382</v>
      </c>
      <c r="D672" t="s">
        <v>446</v>
      </c>
      <c r="E672">
        <v>-2000000</v>
      </c>
      <c r="F672" t="s">
        <v>380</v>
      </c>
      <c r="G672" t="s">
        <v>447</v>
      </c>
      <c r="H672">
        <v>181009160103</v>
      </c>
      <c r="I672" t="str">
        <f>CashIntraTable[Portfolio]&amp;VALUE(CashIntraTable[Cash Date])&amp;CashIntraTable[Detail]</f>
        <v>SCBRMS50433822.2. Switch-out</v>
      </c>
    </row>
    <row r="673" spans="1:9" x14ac:dyDescent="0.2">
      <c r="A673" t="s">
        <v>521</v>
      </c>
      <c r="B673" t="s">
        <v>23</v>
      </c>
      <c r="C673" s="50">
        <v>43383</v>
      </c>
      <c r="D673" t="s">
        <v>446</v>
      </c>
      <c r="E673">
        <v>-12477801.609999999</v>
      </c>
      <c r="F673" t="s">
        <v>380</v>
      </c>
      <c r="G673" t="s">
        <v>447</v>
      </c>
      <c r="H673">
        <v>181009160103</v>
      </c>
      <c r="I673" t="str">
        <f>CashIntraTable[Portfolio]&amp;VALUE(CashIntraTable[Cash Date])&amp;CashIntraTable[Detail]</f>
        <v>SCBRMS50433832.2. Switch-out</v>
      </c>
    </row>
    <row r="674" spans="1:9" x14ac:dyDescent="0.2">
      <c r="A674" t="s">
        <v>521</v>
      </c>
      <c r="B674" t="s">
        <v>23</v>
      </c>
      <c r="C674" s="50">
        <v>43384</v>
      </c>
      <c r="D674" t="s">
        <v>446</v>
      </c>
      <c r="E674">
        <v>-1117989.05</v>
      </c>
      <c r="F674" t="s">
        <v>380</v>
      </c>
      <c r="G674" t="s">
        <v>447</v>
      </c>
      <c r="H674">
        <v>181009160103</v>
      </c>
      <c r="I674" t="str">
        <f>CashIntraTable[Portfolio]&amp;VALUE(CashIntraTable[Cash Date])&amp;CashIntraTable[Detail]</f>
        <v>SCBRMS50433842.2. Switch-out</v>
      </c>
    </row>
    <row r="675" spans="1:9" x14ac:dyDescent="0.2">
      <c r="A675" t="s">
        <v>522</v>
      </c>
      <c r="B675" t="s">
        <v>23</v>
      </c>
      <c r="C675" s="50">
        <v>43383</v>
      </c>
      <c r="D675" t="s">
        <v>446</v>
      </c>
      <c r="E675">
        <v>1020500.44</v>
      </c>
      <c r="F675" t="s">
        <v>377</v>
      </c>
      <c r="G675" t="s">
        <v>447</v>
      </c>
      <c r="H675">
        <v>181009160103</v>
      </c>
      <c r="I675" t="str">
        <f>CashIntraTable[Portfolio]&amp;VALUE(CashIntraTable[Cash Date])&amp;CashIntraTable[Detail]</f>
        <v>SCBROBO433831.1. Subscription</v>
      </c>
    </row>
    <row r="676" spans="1:9" x14ac:dyDescent="0.2">
      <c r="A676" t="s">
        <v>522</v>
      </c>
      <c r="B676" t="s">
        <v>23</v>
      </c>
      <c r="C676" s="50">
        <v>43383</v>
      </c>
      <c r="D676" t="s">
        <v>446</v>
      </c>
      <c r="E676">
        <v>3567146</v>
      </c>
      <c r="F676" t="s">
        <v>378</v>
      </c>
      <c r="G676" t="s">
        <v>447</v>
      </c>
      <c r="H676">
        <v>181009160103</v>
      </c>
      <c r="I676" t="str">
        <f>CashIntraTable[Portfolio]&amp;VALUE(CashIntraTable[Cash Date])&amp;CashIntraTable[Detail]</f>
        <v>SCBROBO433831.2. Switch-in</v>
      </c>
    </row>
    <row r="677" spans="1:9" x14ac:dyDescent="0.2">
      <c r="A677" t="s">
        <v>522</v>
      </c>
      <c r="B677" t="s">
        <v>23</v>
      </c>
      <c r="C677" s="50">
        <v>43390</v>
      </c>
      <c r="D677" t="s">
        <v>446</v>
      </c>
      <c r="E677">
        <v>7630.51</v>
      </c>
      <c r="F677" t="s">
        <v>378</v>
      </c>
      <c r="G677" t="s">
        <v>447</v>
      </c>
      <c r="H677">
        <v>181009160103</v>
      </c>
      <c r="I677" t="str">
        <f>CashIntraTable[Portfolio]&amp;VALUE(CashIntraTable[Cash Date])&amp;CashIntraTable[Detail]</f>
        <v>SCBROBO433901.2. Switch-in</v>
      </c>
    </row>
    <row r="678" spans="1:9" x14ac:dyDescent="0.2">
      <c r="A678" t="s">
        <v>522</v>
      </c>
      <c r="B678" t="s">
        <v>23</v>
      </c>
      <c r="C678" s="50">
        <v>43382</v>
      </c>
      <c r="D678" t="s">
        <v>446</v>
      </c>
      <c r="E678">
        <v>-2726287.06</v>
      </c>
      <c r="F678" t="s">
        <v>379</v>
      </c>
      <c r="G678" t="s">
        <v>447</v>
      </c>
      <c r="H678">
        <v>181009160103</v>
      </c>
      <c r="I678" t="str">
        <f>CashIntraTable[Portfolio]&amp;VALUE(CashIntraTable[Cash Date])&amp;CashIntraTable[Detail]</f>
        <v>SCBROBO433822.1. Redemption</v>
      </c>
    </row>
    <row r="679" spans="1:9" x14ac:dyDescent="0.2">
      <c r="A679" t="s">
        <v>522</v>
      </c>
      <c r="B679" t="s">
        <v>23</v>
      </c>
      <c r="C679" s="50">
        <v>43383</v>
      </c>
      <c r="D679" t="s">
        <v>446</v>
      </c>
      <c r="E679">
        <v>-6819647.8300000001</v>
      </c>
      <c r="F679" t="s">
        <v>379</v>
      </c>
      <c r="G679" t="s">
        <v>447</v>
      </c>
      <c r="H679">
        <v>181009160103</v>
      </c>
      <c r="I679" t="str">
        <f>CashIntraTable[Portfolio]&amp;VALUE(CashIntraTable[Cash Date])&amp;CashIntraTable[Detail]</f>
        <v>SCBROBO433832.1. Redemption</v>
      </c>
    </row>
    <row r="680" spans="1:9" x14ac:dyDescent="0.2">
      <c r="A680" t="s">
        <v>522</v>
      </c>
      <c r="B680" t="s">
        <v>23</v>
      </c>
      <c r="C680" s="50">
        <v>43384</v>
      </c>
      <c r="D680" t="s">
        <v>446</v>
      </c>
      <c r="E680">
        <v>-4019690.67</v>
      </c>
      <c r="F680" t="s">
        <v>379</v>
      </c>
      <c r="G680" t="s">
        <v>447</v>
      </c>
      <c r="H680">
        <v>181009160103</v>
      </c>
      <c r="I680" t="str">
        <f>CashIntraTable[Portfolio]&amp;VALUE(CashIntraTable[Cash Date])&amp;CashIntraTable[Detail]</f>
        <v>SCBROBO433842.1. Redemption</v>
      </c>
    </row>
    <row r="681" spans="1:9" x14ac:dyDescent="0.2">
      <c r="A681" t="s">
        <v>522</v>
      </c>
      <c r="B681" t="s">
        <v>23</v>
      </c>
      <c r="C681" s="50">
        <v>43385</v>
      </c>
      <c r="D681" t="s">
        <v>446</v>
      </c>
      <c r="E681">
        <v>-6370694.0999999996</v>
      </c>
      <c r="F681" t="s">
        <v>379</v>
      </c>
      <c r="G681" t="s">
        <v>447</v>
      </c>
      <c r="H681">
        <v>181009160103</v>
      </c>
      <c r="I681" t="str">
        <f>CashIntraTable[Portfolio]&amp;VALUE(CashIntraTable[Cash Date])&amp;CashIntraTable[Detail]</f>
        <v>SCBROBO433852.1. Redemption</v>
      </c>
    </row>
    <row r="682" spans="1:9" x14ac:dyDescent="0.2">
      <c r="A682" t="s">
        <v>522</v>
      </c>
      <c r="B682" t="s">
        <v>23</v>
      </c>
      <c r="C682" s="50">
        <v>43382</v>
      </c>
      <c r="D682" t="s">
        <v>446</v>
      </c>
      <c r="E682">
        <v>-17203159.210000001</v>
      </c>
      <c r="F682" t="s">
        <v>380</v>
      </c>
      <c r="G682" t="s">
        <v>447</v>
      </c>
      <c r="H682">
        <v>181009160103</v>
      </c>
      <c r="I682" t="str">
        <f>CashIntraTable[Portfolio]&amp;VALUE(CashIntraTable[Cash Date])&amp;CashIntraTable[Detail]</f>
        <v>SCBROBO433822.2. Switch-out</v>
      </c>
    </row>
    <row r="683" spans="1:9" x14ac:dyDescent="0.2">
      <c r="A683" t="s">
        <v>522</v>
      </c>
      <c r="B683" t="s">
        <v>23</v>
      </c>
      <c r="C683" s="50">
        <v>43383</v>
      </c>
      <c r="D683" t="s">
        <v>446</v>
      </c>
      <c r="E683">
        <v>-11807561.98</v>
      </c>
      <c r="F683" t="s">
        <v>380</v>
      </c>
      <c r="G683" t="s">
        <v>447</v>
      </c>
      <c r="H683">
        <v>181009160103</v>
      </c>
      <c r="I683" t="str">
        <f>CashIntraTable[Portfolio]&amp;VALUE(CashIntraTable[Cash Date])&amp;CashIntraTable[Detail]</f>
        <v>SCBROBO433832.2. Switch-out</v>
      </c>
    </row>
    <row r="684" spans="1:9" x14ac:dyDescent="0.2">
      <c r="A684" t="s">
        <v>522</v>
      </c>
      <c r="B684" t="s">
        <v>23</v>
      </c>
      <c r="C684" s="50">
        <v>43384</v>
      </c>
      <c r="D684" t="s">
        <v>446</v>
      </c>
      <c r="E684">
        <v>-2800345.43</v>
      </c>
      <c r="F684" t="s">
        <v>380</v>
      </c>
      <c r="G684" t="s">
        <v>447</v>
      </c>
      <c r="H684">
        <v>181009160103</v>
      </c>
      <c r="I684" t="str">
        <f>CashIntraTable[Portfolio]&amp;VALUE(CashIntraTable[Cash Date])&amp;CashIntraTable[Detail]</f>
        <v>SCBROBO433842.2. Switch-out</v>
      </c>
    </row>
    <row r="685" spans="1:9" x14ac:dyDescent="0.2">
      <c r="A685" t="s">
        <v>522</v>
      </c>
      <c r="B685" t="s">
        <v>23</v>
      </c>
      <c r="C685" s="50">
        <v>43385</v>
      </c>
      <c r="D685" t="s">
        <v>446</v>
      </c>
      <c r="E685">
        <v>-9029944.7400000002</v>
      </c>
      <c r="F685" t="s">
        <v>380</v>
      </c>
      <c r="G685" t="s">
        <v>447</v>
      </c>
      <c r="H685">
        <v>181009160103</v>
      </c>
      <c r="I685" t="str">
        <f>CashIntraTable[Portfolio]&amp;VALUE(CashIntraTable[Cash Date])&amp;CashIntraTable[Detail]</f>
        <v>SCBROBO433852.2. Switch-out</v>
      </c>
    </row>
    <row r="686" spans="1:9" x14ac:dyDescent="0.2">
      <c r="A686" t="s">
        <v>523</v>
      </c>
      <c r="B686" t="s">
        <v>23</v>
      </c>
      <c r="C686" s="50">
        <v>43383</v>
      </c>
      <c r="D686" t="s">
        <v>446</v>
      </c>
      <c r="E686">
        <v>9390325</v>
      </c>
      <c r="F686" t="s">
        <v>377</v>
      </c>
      <c r="G686" t="s">
        <v>447</v>
      </c>
      <c r="H686">
        <v>181009160103</v>
      </c>
      <c r="I686" t="str">
        <f>CashIntraTable[Portfolio]&amp;VALUE(CashIntraTable[Cash Date])&amp;CashIntraTable[Detail]</f>
        <v>SCBS&amp;P500433831.1. Subscription</v>
      </c>
    </row>
    <row r="687" spans="1:9" x14ac:dyDescent="0.2">
      <c r="A687" t="s">
        <v>523</v>
      </c>
      <c r="B687" t="s">
        <v>23</v>
      </c>
      <c r="C687" s="50">
        <v>43382</v>
      </c>
      <c r="D687" t="s">
        <v>446</v>
      </c>
      <c r="E687">
        <v>32841.18</v>
      </c>
      <c r="F687" t="s">
        <v>378</v>
      </c>
      <c r="G687" t="s">
        <v>447</v>
      </c>
      <c r="H687">
        <v>181009160103</v>
      </c>
      <c r="I687" t="str">
        <f>CashIntraTable[Portfolio]&amp;VALUE(CashIntraTable[Cash Date])&amp;CashIntraTable[Detail]</f>
        <v>SCBS&amp;P500433821.2. Switch-in</v>
      </c>
    </row>
    <row r="688" spans="1:9" x14ac:dyDescent="0.2">
      <c r="A688" t="s">
        <v>523</v>
      </c>
      <c r="B688" t="s">
        <v>23</v>
      </c>
      <c r="C688" s="50">
        <v>43383</v>
      </c>
      <c r="D688" t="s">
        <v>446</v>
      </c>
      <c r="E688">
        <v>608310.09</v>
      </c>
      <c r="F688" t="s">
        <v>378</v>
      </c>
      <c r="G688" t="s">
        <v>447</v>
      </c>
      <c r="H688">
        <v>181009160103</v>
      </c>
      <c r="I688" t="str">
        <f>CashIntraTable[Portfolio]&amp;VALUE(CashIntraTable[Cash Date])&amp;CashIntraTable[Detail]</f>
        <v>SCBS&amp;P500433831.2. Switch-in</v>
      </c>
    </row>
    <row r="689" spans="1:9" x14ac:dyDescent="0.2">
      <c r="A689" t="s">
        <v>523</v>
      </c>
      <c r="B689" t="s">
        <v>23</v>
      </c>
      <c r="C689" s="50">
        <v>43384</v>
      </c>
      <c r="D689" t="s">
        <v>446</v>
      </c>
      <c r="E689">
        <v>23037.71</v>
      </c>
      <c r="F689" t="s">
        <v>378</v>
      </c>
      <c r="G689" t="s">
        <v>447</v>
      </c>
      <c r="H689">
        <v>181009160103</v>
      </c>
      <c r="I689" t="str">
        <f>CashIntraTable[Portfolio]&amp;VALUE(CashIntraTable[Cash Date])&amp;CashIntraTable[Detail]</f>
        <v>SCBS&amp;P500433841.2. Switch-in</v>
      </c>
    </row>
    <row r="690" spans="1:9" x14ac:dyDescent="0.2">
      <c r="A690" t="s">
        <v>523</v>
      </c>
      <c r="B690" t="s">
        <v>23</v>
      </c>
      <c r="C690" s="50">
        <v>43382</v>
      </c>
      <c r="D690" t="s">
        <v>446</v>
      </c>
      <c r="E690">
        <v>-335928.31</v>
      </c>
      <c r="F690" t="s">
        <v>379</v>
      </c>
      <c r="G690" t="s">
        <v>447</v>
      </c>
      <c r="H690">
        <v>181009160103</v>
      </c>
      <c r="I690" t="str">
        <f>CashIntraTable[Portfolio]&amp;VALUE(CashIntraTable[Cash Date])&amp;CashIntraTable[Detail]</f>
        <v>SCBS&amp;P500433822.1. Redemption</v>
      </c>
    </row>
    <row r="691" spans="1:9" x14ac:dyDescent="0.2">
      <c r="A691" t="s">
        <v>523</v>
      </c>
      <c r="B691" t="s">
        <v>23</v>
      </c>
      <c r="C691" s="50">
        <v>43383</v>
      </c>
      <c r="D691" t="s">
        <v>446</v>
      </c>
      <c r="E691">
        <v>-145000</v>
      </c>
      <c r="F691" t="s">
        <v>379</v>
      </c>
      <c r="G691" t="s">
        <v>447</v>
      </c>
      <c r="H691">
        <v>181009160103</v>
      </c>
      <c r="I691" t="str">
        <f>CashIntraTable[Portfolio]&amp;VALUE(CashIntraTable[Cash Date])&amp;CashIntraTable[Detail]</f>
        <v>SCBS&amp;P500433832.1. Redemption</v>
      </c>
    </row>
    <row r="692" spans="1:9" x14ac:dyDescent="0.2">
      <c r="A692" t="s">
        <v>523</v>
      </c>
      <c r="B692" t="s">
        <v>23</v>
      </c>
      <c r="C692" s="50">
        <v>43384</v>
      </c>
      <c r="D692" t="s">
        <v>446</v>
      </c>
      <c r="E692">
        <v>-76795.100000000006</v>
      </c>
      <c r="F692" t="s">
        <v>379</v>
      </c>
      <c r="G692" t="s">
        <v>447</v>
      </c>
      <c r="H692">
        <v>181009160103</v>
      </c>
      <c r="I692" t="str">
        <f>CashIntraTable[Portfolio]&amp;VALUE(CashIntraTable[Cash Date])&amp;CashIntraTable[Detail]</f>
        <v>SCBS&amp;P500433842.1. Redemption</v>
      </c>
    </row>
    <row r="693" spans="1:9" x14ac:dyDescent="0.2">
      <c r="A693" t="s">
        <v>523</v>
      </c>
      <c r="B693" t="s">
        <v>23</v>
      </c>
      <c r="C693" s="50">
        <v>43385</v>
      </c>
      <c r="D693" t="s">
        <v>446</v>
      </c>
      <c r="E693">
        <v>-7797984.1699999999</v>
      </c>
      <c r="F693" t="s">
        <v>379</v>
      </c>
      <c r="G693" t="s">
        <v>447</v>
      </c>
      <c r="H693">
        <v>181009160103</v>
      </c>
      <c r="I693" t="str">
        <f>CashIntraTable[Portfolio]&amp;VALUE(CashIntraTable[Cash Date])&amp;CashIntraTable[Detail]</f>
        <v>SCBS&amp;P500433852.1. Redemption</v>
      </c>
    </row>
    <row r="694" spans="1:9" x14ac:dyDescent="0.2">
      <c r="A694" t="s">
        <v>523</v>
      </c>
      <c r="B694" t="s">
        <v>23</v>
      </c>
      <c r="C694" s="50">
        <v>43382</v>
      </c>
      <c r="D694" t="s">
        <v>446</v>
      </c>
      <c r="E694">
        <v>-912393.7</v>
      </c>
      <c r="F694" t="s">
        <v>380</v>
      </c>
      <c r="G694" t="s">
        <v>447</v>
      </c>
      <c r="H694">
        <v>181009160103</v>
      </c>
      <c r="I694" t="str">
        <f>CashIntraTable[Portfolio]&amp;VALUE(CashIntraTable[Cash Date])&amp;CashIntraTable[Detail]</f>
        <v>SCBS&amp;P500433822.2. Switch-out</v>
      </c>
    </row>
    <row r="695" spans="1:9" x14ac:dyDescent="0.2">
      <c r="A695" t="s">
        <v>523</v>
      </c>
      <c r="B695" t="s">
        <v>23</v>
      </c>
      <c r="C695" s="50">
        <v>43383</v>
      </c>
      <c r="D695" t="s">
        <v>446</v>
      </c>
      <c r="E695">
        <v>-10070824.41</v>
      </c>
      <c r="F695" t="s">
        <v>380</v>
      </c>
      <c r="G695" t="s">
        <v>447</v>
      </c>
      <c r="H695">
        <v>181009160103</v>
      </c>
      <c r="I695" t="str">
        <f>CashIntraTable[Portfolio]&amp;VALUE(CashIntraTable[Cash Date])&amp;CashIntraTable[Detail]</f>
        <v>SCBS&amp;P500433832.2. Switch-out</v>
      </c>
    </row>
    <row r="696" spans="1:9" x14ac:dyDescent="0.2">
      <c r="A696" t="s">
        <v>523</v>
      </c>
      <c r="B696" t="s">
        <v>23</v>
      </c>
      <c r="C696" s="50">
        <v>43384</v>
      </c>
      <c r="D696" t="s">
        <v>446</v>
      </c>
      <c r="E696">
        <v>-6178.84</v>
      </c>
      <c r="F696" t="s">
        <v>380</v>
      </c>
      <c r="G696" t="s">
        <v>447</v>
      </c>
      <c r="H696">
        <v>181009160103</v>
      </c>
      <c r="I696" t="str">
        <f>CashIntraTable[Portfolio]&amp;VALUE(CashIntraTable[Cash Date])&amp;CashIntraTable[Detail]</f>
        <v>SCBS&amp;P500433842.2. Switch-out</v>
      </c>
    </row>
    <row r="697" spans="1:9" x14ac:dyDescent="0.2">
      <c r="A697" t="s">
        <v>523</v>
      </c>
      <c r="B697" t="s">
        <v>23</v>
      </c>
      <c r="C697" s="50">
        <v>43385</v>
      </c>
      <c r="D697" t="s">
        <v>446</v>
      </c>
      <c r="E697">
        <v>-101350.15</v>
      </c>
      <c r="F697" t="s">
        <v>380</v>
      </c>
      <c r="G697" t="s">
        <v>447</v>
      </c>
      <c r="H697">
        <v>181009160103</v>
      </c>
      <c r="I697" t="str">
        <f>CashIntraTable[Portfolio]&amp;VALUE(CashIntraTable[Cash Date])&amp;CashIntraTable[Detail]</f>
        <v>SCBS&amp;P500433852.2. Switch-out</v>
      </c>
    </row>
    <row r="698" spans="1:9" x14ac:dyDescent="0.2">
      <c r="A698" t="s">
        <v>524</v>
      </c>
      <c r="B698" t="s">
        <v>23</v>
      </c>
      <c r="C698" s="50">
        <v>43382</v>
      </c>
      <c r="D698" t="s">
        <v>446</v>
      </c>
      <c r="E698">
        <v>15349195.5</v>
      </c>
      <c r="F698" t="s">
        <v>377</v>
      </c>
      <c r="G698" t="s">
        <v>447</v>
      </c>
      <c r="H698">
        <v>181009160103</v>
      </c>
      <c r="I698" t="str">
        <f>CashIntraTable[Portfolio]&amp;VALUE(CashIntraTable[Cash Date])&amp;CashIntraTable[Detail]</f>
        <v>SCBSEFUND433821.1. Subscription</v>
      </c>
    </row>
    <row r="699" spans="1:9" x14ac:dyDescent="0.2">
      <c r="A699" t="s">
        <v>524</v>
      </c>
      <c r="B699" t="s">
        <v>23</v>
      </c>
      <c r="C699" s="50">
        <v>43383</v>
      </c>
      <c r="D699" t="s">
        <v>446</v>
      </c>
      <c r="E699">
        <v>7557720.96</v>
      </c>
      <c r="F699" t="s">
        <v>377</v>
      </c>
      <c r="G699" t="s">
        <v>447</v>
      </c>
      <c r="H699">
        <v>181009160103</v>
      </c>
      <c r="I699" t="str">
        <f>CashIntraTable[Portfolio]&amp;VALUE(CashIntraTable[Cash Date])&amp;CashIntraTable[Detail]</f>
        <v>SCBSEFUND433831.1. Subscription</v>
      </c>
    </row>
    <row r="700" spans="1:9" x14ac:dyDescent="0.2">
      <c r="A700" t="s">
        <v>524</v>
      </c>
      <c r="B700" t="s">
        <v>23</v>
      </c>
      <c r="C700" s="50">
        <v>43382</v>
      </c>
      <c r="D700" t="s">
        <v>446</v>
      </c>
      <c r="E700">
        <v>12101000</v>
      </c>
      <c r="F700" t="s">
        <v>378</v>
      </c>
      <c r="G700" t="s">
        <v>447</v>
      </c>
      <c r="H700">
        <v>181009160103</v>
      </c>
      <c r="I700" t="str">
        <f>CashIntraTable[Portfolio]&amp;VALUE(CashIntraTable[Cash Date])&amp;CashIntraTable[Detail]</f>
        <v>SCBSEFUND433821.2. Switch-in</v>
      </c>
    </row>
    <row r="701" spans="1:9" x14ac:dyDescent="0.2">
      <c r="A701" t="s">
        <v>524</v>
      </c>
      <c r="B701" t="s">
        <v>23</v>
      </c>
      <c r="C701" s="50">
        <v>43383</v>
      </c>
      <c r="D701" t="s">
        <v>446</v>
      </c>
      <c r="E701">
        <v>22769475.68</v>
      </c>
      <c r="F701" t="s">
        <v>378</v>
      </c>
      <c r="G701" t="s">
        <v>447</v>
      </c>
      <c r="H701">
        <v>181009160103</v>
      </c>
      <c r="I701" t="str">
        <f>CashIntraTable[Portfolio]&amp;VALUE(CashIntraTable[Cash Date])&amp;CashIntraTable[Detail]</f>
        <v>SCBSEFUND433831.2. Switch-in</v>
      </c>
    </row>
    <row r="702" spans="1:9" x14ac:dyDescent="0.2">
      <c r="A702" t="s">
        <v>524</v>
      </c>
      <c r="B702" t="s">
        <v>23</v>
      </c>
      <c r="C702" s="50">
        <v>43384</v>
      </c>
      <c r="D702" t="s">
        <v>446</v>
      </c>
      <c r="E702">
        <v>152291.67000000001</v>
      </c>
      <c r="F702" t="s">
        <v>378</v>
      </c>
      <c r="G702" t="s">
        <v>447</v>
      </c>
      <c r="H702">
        <v>181009160103</v>
      </c>
      <c r="I702" t="str">
        <f>CashIntraTable[Portfolio]&amp;VALUE(CashIntraTable[Cash Date])&amp;CashIntraTable[Detail]</f>
        <v>SCBSEFUND433841.2. Switch-in</v>
      </c>
    </row>
    <row r="703" spans="1:9" x14ac:dyDescent="0.2">
      <c r="A703" t="s">
        <v>524</v>
      </c>
      <c r="B703" t="s">
        <v>23</v>
      </c>
      <c r="C703" s="50">
        <v>43382</v>
      </c>
      <c r="D703" t="s">
        <v>446</v>
      </c>
      <c r="E703">
        <v>-623525.02</v>
      </c>
      <c r="F703" t="s">
        <v>379</v>
      </c>
      <c r="G703" t="s">
        <v>447</v>
      </c>
      <c r="H703">
        <v>181009160103</v>
      </c>
      <c r="I703" t="str">
        <f>CashIntraTable[Portfolio]&amp;VALUE(CashIntraTable[Cash Date])&amp;CashIntraTable[Detail]</f>
        <v>SCBSEFUND433822.1. Redemption</v>
      </c>
    </row>
    <row r="704" spans="1:9" x14ac:dyDescent="0.2">
      <c r="A704" t="s">
        <v>524</v>
      </c>
      <c r="B704" t="s">
        <v>23</v>
      </c>
      <c r="C704" s="50">
        <v>43383</v>
      </c>
      <c r="D704" t="s">
        <v>446</v>
      </c>
      <c r="E704">
        <v>-3061440.83</v>
      </c>
      <c r="F704" t="s">
        <v>379</v>
      </c>
      <c r="G704" t="s">
        <v>447</v>
      </c>
      <c r="H704">
        <v>181009160103</v>
      </c>
      <c r="I704" t="str">
        <f>CashIntraTable[Portfolio]&amp;VALUE(CashIntraTable[Cash Date])&amp;CashIntraTable[Detail]</f>
        <v>SCBSEFUND433832.1. Redemption</v>
      </c>
    </row>
    <row r="705" spans="1:9" x14ac:dyDescent="0.2">
      <c r="A705" t="s">
        <v>524</v>
      </c>
      <c r="B705" t="s">
        <v>23</v>
      </c>
      <c r="C705" s="50">
        <v>43384</v>
      </c>
      <c r="D705" t="s">
        <v>446</v>
      </c>
      <c r="E705">
        <v>-1037920.39</v>
      </c>
      <c r="F705" t="s">
        <v>379</v>
      </c>
      <c r="G705" t="s">
        <v>447</v>
      </c>
      <c r="H705">
        <v>181009160103</v>
      </c>
      <c r="I705" t="str">
        <f>CashIntraTable[Portfolio]&amp;VALUE(CashIntraTable[Cash Date])&amp;CashIntraTable[Detail]</f>
        <v>SCBSEFUND433842.1. Redemption</v>
      </c>
    </row>
    <row r="706" spans="1:9" x14ac:dyDescent="0.2">
      <c r="A706" t="s">
        <v>524</v>
      </c>
      <c r="B706" t="s">
        <v>23</v>
      </c>
      <c r="C706" s="50">
        <v>43382</v>
      </c>
      <c r="D706" t="s">
        <v>446</v>
      </c>
      <c r="E706">
        <v>-663524.79</v>
      </c>
      <c r="F706" t="s">
        <v>380</v>
      </c>
      <c r="G706" t="s">
        <v>447</v>
      </c>
      <c r="H706">
        <v>181009160103</v>
      </c>
      <c r="I706" t="str">
        <f>CashIntraTable[Portfolio]&amp;VALUE(CashIntraTable[Cash Date])&amp;CashIntraTable[Detail]</f>
        <v>SCBSEFUND433822.2. Switch-out</v>
      </c>
    </row>
    <row r="707" spans="1:9" x14ac:dyDescent="0.2">
      <c r="A707" t="s">
        <v>524</v>
      </c>
      <c r="B707" t="s">
        <v>23</v>
      </c>
      <c r="C707" s="50">
        <v>43383</v>
      </c>
      <c r="D707" t="s">
        <v>446</v>
      </c>
      <c r="E707">
        <v>-247962.62</v>
      </c>
      <c r="F707" t="s">
        <v>380</v>
      </c>
      <c r="G707" t="s">
        <v>447</v>
      </c>
      <c r="H707">
        <v>181009160103</v>
      </c>
      <c r="I707" t="str">
        <f>CashIntraTable[Portfolio]&amp;VALUE(CashIntraTable[Cash Date])&amp;CashIntraTable[Detail]</f>
        <v>SCBSEFUND433832.2. Switch-out</v>
      </c>
    </row>
    <row r="708" spans="1:9" x14ac:dyDescent="0.2">
      <c r="A708" t="s">
        <v>524</v>
      </c>
      <c r="B708" t="s">
        <v>23</v>
      </c>
      <c r="C708" s="50">
        <v>43384</v>
      </c>
      <c r="D708" t="s">
        <v>446</v>
      </c>
      <c r="E708">
        <v>-152177.93</v>
      </c>
      <c r="F708" t="s">
        <v>380</v>
      </c>
      <c r="G708" t="s">
        <v>447</v>
      </c>
      <c r="H708">
        <v>181009160103</v>
      </c>
      <c r="I708" t="str">
        <f>CashIntraTable[Portfolio]&amp;VALUE(CashIntraTable[Cash Date])&amp;CashIntraTable[Detail]</f>
        <v>SCBSEFUND433842.2. Switch-out</v>
      </c>
    </row>
    <row r="709" spans="1:9" x14ac:dyDescent="0.2">
      <c r="A709" t="s">
        <v>525</v>
      </c>
      <c r="B709" t="s">
        <v>23</v>
      </c>
      <c r="C709" s="50">
        <v>43382</v>
      </c>
      <c r="D709" t="s">
        <v>446</v>
      </c>
      <c r="E709">
        <v>41704654.960000001</v>
      </c>
      <c r="F709" t="s">
        <v>377</v>
      </c>
      <c r="G709" t="s">
        <v>447</v>
      </c>
      <c r="H709">
        <v>181009160103</v>
      </c>
      <c r="I709" t="str">
        <f>CashIntraTable[Portfolio]&amp;VALUE(CashIntraTable[Cash Date])&amp;CashIntraTable[Detail]</f>
        <v>SCBSET50FUND433821.1. Subscription</v>
      </c>
    </row>
    <row r="710" spans="1:9" x14ac:dyDescent="0.2">
      <c r="A710" t="s">
        <v>525</v>
      </c>
      <c r="B710" t="s">
        <v>23</v>
      </c>
      <c r="C710" s="50">
        <v>43383</v>
      </c>
      <c r="D710" t="s">
        <v>446</v>
      </c>
      <c r="E710">
        <v>31384367.199999999</v>
      </c>
      <c r="F710" t="s">
        <v>377</v>
      </c>
      <c r="G710" t="s">
        <v>447</v>
      </c>
      <c r="H710">
        <v>181009160103</v>
      </c>
      <c r="I710" t="str">
        <f>CashIntraTable[Portfolio]&amp;VALUE(CashIntraTable[Cash Date])&amp;CashIntraTable[Detail]</f>
        <v>SCBSET50FUND433831.1. Subscription</v>
      </c>
    </row>
    <row r="711" spans="1:9" x14ac:dyDescent="0.2">
      <c r="A711" t="s">
        <v>525</v>
      </c>
      <c r="B711" t="s">
        <v>23</v>
      </c>
      <c r="C711" s="50">
        <v>43382</v>
      </c>
      <c r="D711" t="s">
        <v>446</v>
      </c>
      <c r="E711">
        <v>91102743.849999994</v>
      </c>
      <c r="F711" t="s">
        <v>378</v>
      </c>
      <c r="G711" t="s">
        <v>447</v>
      </c>
      <c r="H711">
        <v>181009160103</v>
      </c>
      <c r="I711" t="str">
        <f>CashIntraTable[Portfolio]&amp;VALUE(CashIntraTable[Cash Date])&amp;CashIntraTable[Detail]</f>
        <v>SCBSET50FUND433821.2. Switch-in</v>
      </c>
    </row>
    <row r="712" spans="1:9" x14ac:dyDescent="0.2">
      <c r="A712" t="s">
        <v>525</v>
      </c>
      <c r="B712" t="s">
        <v>23</v>
      </c>
      <c r="C712" s="50">
        <v>43383</v>
      </c>
      <c r="D712" t="s">
        <v>446</v>
      </c>
      <c r="E712">
        <v>44544841.350000001</v>
      </c>
      <c r="F712" t="s">
        <v>378</v>
      </c>
      <c r="G712" t="s">
        <v>447</v>
      </c>
      <c r="H712">
        <v>181009160103</v>
      </c>
      <c r="I712" t="str">
        <f>CashIntraTable[Portfolio]&amp;VALUE(CashIntraTable[Cash Date])&amp;CashIntraTable[Detail]</f>
        <v>SCBSET50FUND433831.2. Switch-in</v>
      </c>
    </row>
    <row r="713" spans="1:9" x14ac:dyDescent="0.2">
      <c r="A713" t="s">
        <v>525</v>
      </c>
      <c r="B713" t="s">
        <v>23</v>
      </c>
      <c r="C713" s="50">
        <v>43384</v>
      </c>
      <c r="D713" t="s">
        <v>446</v>
      </c>
      <c r="E713">
        <v>10770152.880000001</v>
      </c>
      <c r="F713" t="s">
        <v>378</v>
      </c>
      <c r="G713" t="s">
        <v>447</v>
      </c>
      <c r="H713">
        <v>181009160103</v>
      </c>
      <c r="I713" t="str">
        <f>CashIntraTable[Portfolio]&amp;VALUE(CashIntraTable[Cash Date])&amp;CashIntraTable[Detail]</f>
        <v>SCBSET50FUND433841.2. Switch-in</v>
      </c>
    </row>
    <row r="714" spans="1:9" x14ac:dyDescent="0.2">
      <c r="A714" t="s">
        <v>525</v>
      </c>
      <c r="B714" t="s">
        <v>23</v>
      </c>
      <c r="C714" s="50">
        <v>43385</v>
      </c>
      <c r="D714" t="s">
        <v>446</v>
      </c>
      <c r="E714">
        <v>3993920.24</v>
      </c>
      <c r="F714" t="s">
        <v>378</v>
      </c>
      <c r="G714" t="s">
        <v>447</v>
      </c>
      <c r="H714">
        <v>181009160103</v>
      </c>
      <c r="I714" t="str">
        <f>CashIntraTable[Portfolio]&amp;VALUE(CashIntraTable[Cash Date])&amp;CashIntraTable[Detail]</f>
        <v>SCBSET50FUND433851.2. Switch-in</v>
      </c>
    </row>
    <row r="715" spans="1:9" x14ac:dyDescent="0.2">
      <c r="A715" t="s">
        <v>525</v>
      </c>
      <c r="B715" t="s">
        <v>23</v>
      </c>
      <c r="C715" s="50">
        <v>43389</v>
      </c>
      <c r="D715" t="s">
        <v>446</v>
      </c>
      <c r="E715">
        <v>1532821.24</v>
      </c>
      <c r="F715" t="s">
        <v>378</v>
      </c>
      <c r="G715" t="s">
        <v>447</v>
      </c>
      <c r="H715">
        <v>181009160103</v>
      </c>
      <c r="I715" t="str">
        <f>CashIntraTable[Portfolio]&amp;VALUE(CashIntraTable[Cash Date])&amp;CashIntraTable[Detail]</f>
        <v>SCBSET50FUND433891.2. Switch-in</v>
      </c>
    </row>
    <row r="716" spans="1:9" x14ac:dyDescent="0.2">
      <c r="A716" t="s">
        <v>525</v>
      </c>
      <c r="B716" t="s">
        <v>23</v>
      </c>
      <c r="C716" s="50">
        <v>43390</v>
      </c>
      <c r="D716" t="s">
        <v>446</v>
      </c>
      <c r="E716">
        <v>1661909.1</v>
      </c>
      <c r="F716" t="s">
        <v>378</v>
      </c>
      <c r="G716" t="s">
        <v>447</v>
      </c>
      <c r="H716">
        <v>181009160103</v>
      </c>
      <c r="I716" t="str">
        <f>CashIntraTable[Portfolio]&amp;VALUE(CashIntraTable[Cash Date])&amp;CashIntraTable[Detail]</f>
        <v>SCBSET50FUND433901.2. Switch-in</v>
      </c>
    </row>
    <row r="717" spans="1:9" x14ac:dyDescent="0.2">
      <c r="A717" t="s">
        <v>525</v>
      </c>
      <c r="B717" t="s">
        <v>23</v>
      </c>
      <c r="C717" s="50">
        <v>43382</v>
      </c>
      <c r="D717" t="s">
        <v>446</v>
      </c>
      <c r="E717">
        <v>-1122312.47</v>
      </c>
      <c r="F717" t="s">
        <v>379</v>
      </c>
      <c r="G717" t="s">
        <v>447</v>
      </c>
      <c r="H717">
        <v>181009160103</v>
      </c>
      <c r="I717" t="str">
        <f>CashIntraTable[Portfolio]&amp;VALUE(CashIntraTable[Cash Date])&amp;CashIntraTable[Detail]</f>
        <v>SCBSET50FUND433822.1. Redemption</v>
      </c>
    </row>
    <row r="718" spans="1:9" x14ac:dyDescent="0.2">
      <c r="A718" t="s">
        <v>525</v>
      </c>
      <c r="B718" t="s">
        <v>23</v>
      </c>
      <c r="C718" s="50">
        <v>43383</v>
      </c>
      <c r="D718" t="s">
        <v>446</v>
      </c>
      <c r="E718">
        <v>-4485044.3600000003</v>
      </c>
      <c r="F718" t="s">
        <v>379</v>
      </c>
      <c r="G718" t="s">
        <v>447</v>
      </c>
      <c r="H718">
        <v>181009160103</v>
      </c>
      <c r="I718" t="str">
        <f>CashIntraTable[Portfolio]&amp;VALUE(CashIntraTable[Cash Date])&amp;CashIntraTable[Detail]</f>
        <v>SCBSET50FUND433832.1. Redemption</v>
      </c>
    </row>
    <row r="719" spans="1:9" x14ac:dyDescent="0.2">
      <c r="A719" t="s">
        <v>525</v>
      </c>
      <c r="B719" t="s">
        <v>23</v>
      </c>
      <c r="C719" s="50">
        <v>43384</v>
      </c>
      <c r="D719" t="s">
        <v>446</v>
      </c>
      <c r="E719">
        <v>-1756635.52</v>
      </c>
      <c r="F719" t="s">
        <v>379</v>
      </c>
      <c r="G719" t="s">
        <v>447</v>
      </c>
      <c r="H719">
        <v>181009160103</v>
      </c>
      <c r="I719" t="str">
        <f>CashIntraTable[Portfolio]&amp;VALUE(CashIntraTable[Cash Date])&amp;CashIntraTable[Detail]</f>
        <v>SCBSET50FUND433842.1. Redemption</v>
      </c>
    </row>
    <row r="720" spans="1:9" x14ac:dyDescent="0.2">
      <c r="A720" t="s">
        <v>525</v>
      </c>
      <c r="B720" t="s">
        <v>23</v>
      </c>
      <c r="C720" s="50">
        <v>43382</v>
      </c>
      <c r="D720" t="s">
        <v>446</v>
      </c>
      <c r="E720">
        <v>-49841849.939999998</v>
      </c>
      <c r="F720" t="s">
        <v>380</v>
      </c>
      <c r="G720" t="s">
        <v>447</v>
      </c>
      <c r="H720">
        <v>181009160103</v>
      </c>
      <c r="I720" t="str">
        <f>CashIntraTable[Portfolio]&amp;VALUE(CashIntraTable[Cash Date])&amp;CashIntraTable[Detail]</f>
        <v>SCBSET50FUND433822.2. Switch-out</v>
      </c>
    </row>
    <row r="721" spans="1:9" x14ac:dyDescent="0.2">
      <c r="A721" t="s">
        <v>525</v>
      </c>
      <c r="B721" t="s">
        <v>23</v>
      </c>
      <c r="C721" s="50">
        <v>43383</v>
      </c>
      <c r="D721" t="s">
        <v>446</v>
      </c>
      <c r="E721">
        <v>-8978415.0500000007</v>
      </c>
      <c r="F721" t="s">
        <v>380</v>
      </c>
      <c r="G721" t="s">
        <v>447</v>
      </c>
      <c r="H721">
        <v>181009160103</v>
      </c>
      <c r="I721" t="str">
        <f>CashIntraTable[Portfolio]&amp;VALUE(CashIntraTable[Cash Date])&amp;CashIntraTable[Detail]</f>
        <v>SCBSET50FUND433832.2. Switch-out</v>
      </c>
    </row>
    <row r="722" spans="1:9" x14ac:dyDescent="0.2">
      <c r="A722" t="s">
        <v>525</v>
      </c>
      <c r="B722" t="s">
        <v>23</v>
      </c>
      <c r="C722" s="50">
        <v>43384</v>
      </c>
      <c r="D722" t="s">
        <v>446</v>
      </c>
      <c r="E722">
        <v>-3935315.5</v>
      </c>
      <c r="F722" t="s">
        <v>380</v>
      </c>
      <c r="G722" t="s">
        <v>447</v>
      </c>
      <c r="H722">
        <v>181009160103</v>
      </c>
      <c r="I722" t="str">
        <f>CashIntraTable[Portfolio]&amp;VALUE(CashIntraTable[Cash Date])&amp;CashIntraTable[Detail]</f>
        <v>SCBSET50FUND433842.2. Switch-out</v>
      </c>
    </row>
    <row r="723" spans="1:9" x14ac:dyDescent="0.2">
      <c r="A723" t="s">
        <v>526</v>
      </c>
      <c r="B723" t="s">
        <v>23</v>
      </c>
      <c r="C723" s="50">
        <v>43382</v>
      </c>
      <c r="D723" t="s">
        <v>446</v>
      </c>
      <c r="E723">
        <v>105368277.91</v>
      </c>
      <c r="F723" t="s">
        <v>377</v>
      </c>
      <c r="G723" t="s">
        <v>447</v>
      </c>
      <c r="H723">
        <v>181009160103</v>
      </c>
      <c r="I723" t="str">
        <f>CashIntraTable[Portfolio]&amp;VALUE(CashIntraTable[Cash Date])&amp;CashIntraTable[Detail]</f>
        <v>SCBSETFUND433821.1. Subscription</v>
      </c>
    </row>
    <row r="724" spans="1:9" x14ac:dyDescent="0.2">
      <c r="A724" t="s">
        <v>526</v>
      </c>
      <c r="B724" t="s">
        <v>23</v>
      </c>
      <c r="C724" s="50">
        <v>43383</v>
      </c>
      <c r="D724" t="s">
        <v>446</v>
      </c>
      <c r="E724">
        <v>65250749.600000001</v>
      </c>
      <c r="F724" t="s">
        <v>377</v>
      </c>
      <c r="G724" t="s">
        <v>447</v>
      </c>
      <c r="H724">
        <v>181009160103</v>
      </c>
      <c r="I724" t="str">
        <f>CashIntraTable[Portfolio]&amp;VALUE(CashIntraTable[Cash Date])&amp;CashIntraTable[Detail]</f>
        <v>SCBSETFUND433831.1. Subscription</v>
      </c>
    </row>
    <row r="725" spans="1:9" x14ac:dyDescent="0.2">
      <c r="A725" t="s">
        <v>526</v>
      </c>
      <c r="B725" t="s">
        <v>23</v>
      </c>
      <c r="C725" s="50">
        <v>43382</v>
      </c>
      <c r="D725" t="s">
        <v>446</v>
      </c>
      <c r="E725">
        <v>256761035.43000001</v>
      </c>
      <c r="F725" t="s">
        <v>378</v>
      </c>
      <c r="G725" t="s">
        <v>447</v>
      </c>
      <c r="H725">
        <v>181009160103</v>
      </c>
      <c r="I725" t="str">
        <f>CashIntraTable[Portfolio]&amp;VALUE(CashIntraTable[Cash Date])&amp;CashIntraTable[Detail]</f>
        <v>SCBSETFUND433821.2. Switch-in</v>
      </c>
    </row>
    <row r="726" spans="1:9" x14ac:dyDescent="0.2">
      <c r="A726" t="s">
        <v>526</v>
      </c>
      <c r="B726" t="s">
        <v>23</v>
      </c>
      <c r="C726" s="50">
        <v>43383</v>
      </c>
      <c r="D726" t="s">
        <v>446</v>
      </c>
      <c r="E726">
        <v>93594949.609999999</v>
      </c>
      <c r="F726" t="s">
        <v>378</v>
      </c>
      <c r="G726" t="s">
        <v>447</v>
      </c>
      <c r="H726">
        <v>181009160103</v>
      </c>
      <c r="I726" t="str">
        <f>CashIntraTable[Portfolio]&amp;VALUE(CashIntraTable[Cash Date])&amp;CashIntraTable[Detail]</f>
        <v>SCBSETFUND433831.2. Switch-in</v>
      </c>
    </row>
    <row r="727" spans="1:9" x14ac:dyDescent="0.2">
      <c r="A727" t="s">
        <v>526</v>
      </c>
      <c r="B727" t="s">
        <v>23</v>
      </c>
      <c r="C727" s="50">
        <v>43384</v>
      </c>
      <c r="D727" t="s">
        <v>446</v>
      </c>
      <c r="E727">
        <v>11562990.640000001</v>
      </c>
      <c r="F727" t="s">
        <v>378</v>
      </c>
      <c r="G727" t="s">
        <v>447</v>
      </c>
      <c r="H727">
        <v>181009160103</v>
      </c>
      <c r="I727" t="str">
        <f>CashIntraTable[Portfolio]&amp;VALUE(CashIntraTable[Cash Date])&amp;CashIntraTable[Detail]</f>
        <v>SCBSETFUND433841.2. Switch-in</v>
      </c>
    </row>
    <row r="728" spans="1:9" x14ac:dyDescent="0.2">
      <c r="A728" t="s">
        <v>526</v>
      </c>
      <c r="B728" t="s">
        <v>23</v>
      </c>
      <c r="C728" s="50">
        <v>43385</v>
      </c>
      <c r="D728" t="s">
        <v>446</v>
      </c>
      <c r="E728">
        <v>6379474.6299999999</v>
      </c>
      <c r="F728" t="s">
        <v>378</v>
      </c>
      <c r="G728" t="s">
        <v>447</v>
      </c>
      <c r="H728">
        <v>181009160103</v>
      </c>
      <c r="I728" t="str">
        <f>CashIntraTable[Portfolio]&amp;VALUE(CashIntraTable[Cash Date])&amp;CashIntraTable[Detail]</f>
        <v>SCBSETFUND433851.2. Switch-in</v>
      </c>
    </row>
    <row r="729" spans="1:9" x14ac:dyDescent="0.2">
      <c r="A729" t="s">
        <v>526</v>
      </c>
      <c r="B729" t="s">
        <v>23</v>
      </c>
      <c r="C729" s="50">
        <v>43389</v>
      </c>
      <c r="D729" t="s">
        <v>446</v>
      </c>
      <c r="E729">
        <v>5480300.2800000003</v>
      </c>
      <c r="F729" t="s">
        <v>378</v>
      </c>
      <c r="G729" t="s">
        <v>447</v>
      </c>
      <c r="H729">
        <v>181009160103</v>
      </c>
      <c r="I729" t="str">
        <f>CashIntraTable[Portfolio]&amp;VALUE(CashIntraTable[Cash Date])&amp;CashIntraTable[Detail]</f>
        <v>SCBSETFUND433891.2. Switch-in</v>
      </c>
    </row>
    <row r="730" spans="1:9" x14ac:dyDescent="0.2">
      <c r="A730" t="s">
        <v>526</v>
      </c>
      <c r="B730" t="s">
        <v>23</v>
      </c>
      <c r="C730" s="50">
        <v>43390</v>
      </c>
      <c r="D730" t="s">
        <v>446</v>
      </c>
      <c r="E730">
        <v>11792407.27</v>
      </c>
      <c r="F730" t="s">
        <v>378</v>
      </c>
      <c r="G730" t="s">
        <v>447</v>
      </c>
      <c r="H730">
        <v>181009160103</v>
      </c>
      <c r="I730" t="str">
        <f>CashIntraTable[Portfolio]&amp;VALUE(CashIntraTable[Cash Date])&amp;CashIntraTable[Detail]</f>
        <v>SCBSETFUND433901.2. Switch-in</v>
      </c>
    </row>
    <row r="731" spans="1:9" x14ac:dyDescent="0.2">
      <c r="A731" t="s">
        <v>526</v>
      </c>
      <c r="B731" t="s">
        <v>23</v>
      </c>
      <c r="C731" s="50">
        <v>43382</v>
      </c>
      <c r="D731" t="s">
        <v>446</v>
      </c>
      <c r="E731">
        <v>-3691684.41</v>
      </c>
      <c r="F731" t="s">
        <v>379</v>
      </c>
      <c r="G731" t="s">
        <v>447</v>
      </c>
      <c r="H731">
        <v>181009160103</v>
      </c>
      <c r="I731" t="str">
        <f>CashIntraTable[Portfolio]&amp;VALUE(CashIntraTable[Cash Date])&amp;CashIntraTable[Detail]</f>
        <v>SCBSETFUND433822.1. Redemption</v>
      </c>
    </row>
    <row r="732" spans="1:9" x14ac:dyDescent="0.2">
      <c r="A732" t="s">
        <v>526</v>
      </c>
      <c r="B732" t="s">
        <v>23</v>
      </c>
      <c r="C732" s="50">
        <v>43383</v>
      </c>
      <c r="D732" t="s">
        <v>446</v>
      </c>
      <c r="E732">
        <v>-10222602.27</v>
      </c>
      <c r="F732" t="s">
        <v>379</v>
      </c>
      <c r="G732" t="s">
        <v>447</v>
      </c>
      <c r="H732">
        <v>181009160103</v>
      </c>
      <c r="I732" t="str">
        <f>CashIntraTable[Portfolio]&amp;VALUE(CashIntraTable[Cash Date])&amp;CashIntraTable[Detail]</f>
        <v>SCBSETFUND433832.1. Redemption</v>
      </c>
    </row>
    <row r="733" spans="1:9" x14ac:dyDescent="0.2">
      <c r="A733" t="s">
        <v>526</v>
      </c>
      <c r="B733" t="s">
        <v>23</v>
      </c>
      <c r="C733" s="50">
        <v>43384</v>
      </c>
      <c r="D733" t="s">
        <v>446</v>
      </c>
      <c r="E733">
        <v>-4479864.37</v>
      </c>
      <c r="F733" t="s">
        <v>379</v>
      </c>
      <c r="G733" t="s">
        <v>447</v>
      </c>
      <c r="H733">
        <v>181009160103</v>
      </c>
      <c r="I733" t="str">
        <f>CashIntraTable[Portfolio]&amp;VALUE(CashIntraTable[Cash Date])&amp;CashIntraTable[Detail]</f>
        <v>SCBSETFUND433842.1. Redemption</v>
      </c>
    </row>
    <row r="734" spans="1:9" x14ac:dyDescent="0.2">
      <c r="A734" t="s">
        <v>526</v>
      </c>
      <c r="B734" t="s">
        <v>23</v>
      </c>
      <c r="C734" s="50">
        <v>43382</v>
      </c>
      <c r="D734" t="s">
        <v>446</v>
      </c>
      <c r="E734">
        <v>-25969297.57</v>
      </c>
      <c r="F734" t="s">
        <v>380</v>
      </c>
      <c r="G734" t="s">
        <v>447</v>
      </c>
      <c r="H734">
        <v>181009160103</v>
      </c>
      <c r="I734" t="str">
        <f>CashIntraTable[Portfolio]&amp;VALUE(CashIntraTable[Cash Date])&amp;CashIntraTable[Detail]</f>
        <v>SCBSETFUND433822.2. Switch-out</v>
      </c>
    </row>
    <row r="735" spans="1:9" x14ac:dyDescent="0.2">
      <c r="A735" t="s">
        <v>526</v>
      </c>
      <c r="B735" t="s">
        <v>23</v>
      </c>
      <c r="C735" s="50">
        <v>43383</v>
      </c>
      <c r="D735" t="s">
        <v>446</v>
      </c>
      <c r="E735">
        <v>-11056790.32</v>
      </c>
      <c r="F735" t="s">
        <v>380</v>
      </c>
      <c r="G735" t="s">
        <v>447</v>
      </c>
      <c r="H735">
        <v>181009160103</v>
      </c>
      <c r="I735" t="str">
        <f>CashIntraTable[Portfolio]&amp;VALUE(CashIntraTable[Cash Date])&amp;CashIntraTable[Detail]</f>
        <v>SCBSETFUND433832.2. Switch-out</v>
      </c>
    </row>
    <row r="736" spans="1:9" x14ac:dyDescent="0.2">
      <c r="A736" t="s">
        <v>526</v>
      </c>
      <c r="B736" t="s">
        <v>23</v>
      </c>
      <c r="C736" s="50">
        <v>43384</v>
      </c>
      <c r="D736" t="s">
        <v>446</v>
      </c>
      <c r="E736">
        <v>-23134474.370000001</v>
      </c>
      <c r="F736" t="s">
        <v>380</v>
      </c>
      <c r="G736" t="s">
        <v>447</v>
      </c>
      <c r="H736">
        <v>181009160103</v>
      </c>
      <c r="I736" t="str">
        <f>CashIntraTable[Portfolio]&amp;VALUE(CashIntraTable[Cash Date])&amp;CashIntraTable[Detail]</f>
        <v>SCBSETFUND433842.2. Switch-out</v>
      </c>
    </row>
    <row r="737" spans="1:9" x14ac:dyDescent="0.2">
      <c r="A737" t="s">
        <v>17</v>
      </c>
      <c r="B737" t="s">
        <v>23</v>
      </c>
      <c r="C737" s="50">
        <v>43382</v>
      </c>
      <c r="D737" t="s">
        <v>446</v>
      </c>
      <c r="E737">
        <v>196620299.34</v>
      </c>
      <c r="F737" t="s">
        <v>377</v>
      </c>
      <c r="G737" t="s">
        <v>447</v>
      </c>
      <c r="H737">
        <v>181009160103</v>
      </c>
      <c r="I737" t="str">
        <f>CashIntraTable[Portfolio]&amp;VALUE(CashIntraTable[Cash Date])&amp;CashIntraTable[Detail]</f>
        <v>SCBSFF433821.1. Subscription</v>
      </c>
    </row>
    <row r="738" spans="1:9" x14ac:dyDescent="0.2">
      <c r="A738" t="s">
        <v>17</v>
      </c>
      <c r="B738" t="s">
        <v>23</v>
      </c>
      <c r="C738" s="50">
        <v>43383</v>
      </c>
      <c r="D738" t="s">
        <v>446</v>
      </c>
      <c r="E738">
        <v>72067303.459999993</v>
      </c>
      <c r="F738" t="s">
        <v>377</v>
      </c>
      <c r="G738" t="s">
        <v>447</v>
      </c>
      <c r="H738">
        <v>181009160103</v>
      </c>
      <c r="I738" t="str">
        <f>CashIntraTable[Portfolio]&amp;VALUE(CashIntraTable[Cash Date])&amp;CashIntraTable[Detail]</f>
        <v>SCBSFF433831.1. Subscription</v>
      </c>
    </row>
    <row r="739" spans="1:9" x14ac:dyDescent="0.2">
      <c r="A739" t="s">
        <v>17</v>
      </c>
      <c r="B739" t="s">
        <v>23</v>
      </c>
      <c r="C739" s="50">
        <v>43382</v>
      </c>
      <c r="D739" t="s">
        <v>446</v>
      </c>
      <c r="E739">
        <v>23562500</v>
      </c>
      <c r="F739" t="s">
        <v>381</v>
      </c>
      <c r="G739" t="s">
        <v>447</v>
      </c>
      <c r="H739">
        <v>181009160103</v>
      </c>
      <c r="I739" t="str">
        <f>CashIntraTable[Portfolio]&amp;VALUE(CashIntraTable[Cash Date])&amp;CashIntraTable[Detail]</f>
        <v>SCBSFF433821.1. Subscription (Chq)</v>
      </c>
    </row>
    <row r="740" spans="1:9" x14ac:dyDescent="0.2">
      <c r="A740" t="s">
        <v>17</v>
      </c>
      <c r="B740" t="s">
        <v>23</v>
      </c>
      <c r="C740" s="50">
        <v>43383</v>
      </c>
      <c r="D740" t="s">
        <v>446</v>
      </c>
      <c r="E740">
        <v>15100000</v>
      </c>
      <c r="F740" t="s">
        <v>381</v>
      </c>
      <c r="G740" t="s">
        <v>447</v>
      </c>
      <c r="H740">
        <v>181009160103</v>
      </c>
      <c r="I740" t="str">
        <f>CashIntraTable[Portfolio]&amp;VALUE(CashIntraTable[Cash Date])&amp;CashIntraTable[Detail]</f>
        <v>SCBSFF433831.1. Subscription (Chq)</v>
      </c>
    </row>
    <row r="741" spans="1:9" x14ac:dyDescent="0.2">
      <c r="A741" t="s">
        <v>17</v>
      </c>
      <c r="B741" t="s">
        <v>23</v>
      </c>
      <c r="C741" s="50">
        <v>43382</v>
      </c>
      <c r="D741" t="s">
        <v>446</v>
      </c>
      <c r="E741">
        <v>48194687.659999996</v>
      </c>
      <c r="F741" t="s">
        <v>378</v>
      </c>
      <c r="G741" t="s">
        <v>447</v>
      </c>
      <c r="H741">
        <v>181009160103</v>
      </c>
      <c r="I741" t="str">
        <f>CashIntraTable[Portfolio]&amp;VALUE(CashIntraTable[Cash Date])&amp;CashIntraTable[Detail]</f>
        <v>SCBSFF433821.2. Switch-in</v>
      </c>
    </row>
    <row r="742" spans="1:9" x14ac:dyDescent="0.2">
      <c r="A742" t="s">
        <v>17</v>
      </c>
      <c r="B742" t="s">
        <v>23</v>
      </c>
      <c r="C742" s="50">
        <v>43383</v>
      </c>
      <c r="D742" t="s">
        <v>446</v>
      </c>
      <c r="E742">
        <v>17405878.710000001</v>
      </c>
      <c r="F742" t="s">
        <v>378</v>
      </c>
      <c r="G742" t="s">
        <v>447</v>
      </c>
      <c r="H742">
        <v>181009160103</v>
      </c>
      <c r="I742" t="str">
        <f>CashIntraTable[Portfolio]&amp;VALUE(CashIntraTable[Cash Date])&amp;CashIntraTable[Detail]</f>
        <v>SCBSFF433831.2. Switch-in</v>
      </c>
    </row>
    <row r="743" spans="1:9" x14ac:dyDescent="0.2">
      <c r="A743" t="s">
        <v>17</v>
      </c>
      <c r="B743" t="s">
        <v>23</v>
      </c>
      <c r="C743" s="50">
        <v>43384</v>
      </c>
      <c r="D743" t="s">
        <v>446</v>
      </c>
      <c r="E743">
        <v>25840924.07</v>
      </c>
      <c r="F743" t="s">
        <v>378</v>
      </c>
      <c r="G743" t="s">
        <v>447</v>
      </c>
      <c r="H743">
        <v>181009160103</v>
      </c>
      <c r="I743" t="str">
        <f>CashIntraTable[Portfolio]&amp;VALUE(CashIntraTable[Cash Date])&amp;CashIntraTable[Detail]</f>
        <v>SCBSFF433841.2. Switch-in</v>
      </c>
    </row>
    <row r="744" spans="1:9" x14ac:dyDescent="0.2">
      <c r="A744" t="s">
        <v>17</v>
      </c>
      <c r="B744" t="s">
        <v>23</v>
      </c>
      <c r="C744" s="50">
        <v>43385</v>
      </c>
      <c r="D744" t="s">
        <v>446</v>
      </c>
      <c r="E744">
        <v>19803346.93</v>
      </c>
      <c r="F744" t="s">
        <v>378</v>
      </c>
      <c r="G744" t="s">
        <v>447</v>
      </c>
      <c r="H744">
        <v>181009160103</v>
      </c>
      <c r="I744" t="str">
        <f>CashIntraTable[Portfolio]&amp;VALUE(CashIntraTable[Cash Date])&amp;CashIntraTable[Detail]</f>
        <v>SCBSFF433851.2. Switch-in</v>
      </c>
    </row>
    <row r="745" spans="1:9" x14ac:dyDescent="0.2">
      <c r="A745" t="s">
        <v>17</v>
      </c>
      <c r="B745" t="s">
        <v>23</v>
      </c>
      <c r="C745" s="50">
        <v>43389</v>
      </c>
      <c r="D745" t="s">
        <v>446</v>
      </c>
      <c r="E745">
        <v>7117636.6399999997</v>
      </c>
      <c r="F745" t="s">
        <v>378</v>
      </c>
      <c r="G745" t="s">
        <v>447</v>
      </c>
      <c r="H745">
        <v>181009160103</v>
      </c>
      <c r="I745" t="str">
        <f>CashIntraTable[Portfolio]&amp;VALUE(CashIntraTable[Cash Date])&amp;CashIntraTable[Detail]</f>
        <v>SCBSFF433891.2. Switch-in</v>
      </c>
    </row>
    <row r="746" spans="1:9" x14ac:dyDescent="0.2">
      <c r="A746" t="s">
        <v>17</v>
      </c>
      <c r="B746" t="s">
        <v>23</v>
      </c>
      <c r="C746" s="50">
        <v>43390</v>
      </c>
      <c r="D746" t="s">
        <v>446</v>
      </c>
      <c r="E746">
        <v>4928.18</v>
      </c>
      <c r="F746" t="s">
        <v>378</v>
      </c>
      <c r="G746" t="s">
        <v>447</v>
      </c>
      <c r="H746">
        <v>181009160103</v>
      </c>
      <c r="I746" t="str">
        <f>CashIntraTable[Portfolio]&amp;VALUE(CashIntraTable[Cash Date])&amp;CashIntraTable[Detail]</f>
        <v>SCBSFF433901.2. Switch-in</v>
      </c>
    </row>
    <row r="747" spans="1:9" x14ac:dyDescent="0.2">
      <c r="A747" t="s">
        <v>17</v>
      </c>
      <c r="B747" t="s">
        <v>23</v>
      </c>
      <c r="C747" s="50">
        <v>43391</v>
      </c>
      <c r="D747" t="s">
        <v>446</v>
      </c>
      <c r="E747">
        <v>256033.95</v>
      </c>
      <c r="F747" t="s">
        <v>378</v>
      </c>
      <c r="G747" t="s">
        <v>447</v>
      </c>
      <c r="H747">
        <v>181009160103</v>
      </c>
      <c r="I747" t="str">
        <f>CashIntraTable[Portfolio]&amp;VALUE(CashIntraTable[Cash Date])&amp;CashIntraTable[Detail]</f>
        <v>SCBSFF433911.2. Switch-in</v>
      </c>
    </row>
    <row r="748" spans="1:9" x14ac:dyDescent="0.2">
      <c r="A748" t="s">
        <v>17</v>
      </c>
      <c r="B748" t="s">
        <v>23</v>
      </c>
      <c r="C748" s="50">
        <v>43382</v>
      </c>
      <c r="D748" t="s">
        <v>446</v>
      </c>
      <c r="E748">
        <v>-543781504.42999995</v>
      </c>
      <c r="F748" t="s">
        <v>379</v>
      </c>
      <c r="G748" t="s">
        <v>447</v>
      </c>
      <c r="H748">
        <v>181009160103</v>
      </c>
      <c r="I748" t="str">
        <f>CashIntraTable[Portfolio]&amp;VALUE(CashIntraTable[Cash Date])&amp;CashIntraTable[Detail]</f>
        <v>SCBSFF433822.1. Redemption</v>
      </c>
    </row>
    <row r="749" spans="1:9" x14ac:dyDescent="0.2">
      <c r="A749" t="s">
        <v>17</v>
      </c>
      <c r="B749" t="s">
        <v>23</v>
      </c>
      <c r="C749" s="50">
        <v>43383</v>
      </c>
      <c r="D749" t="s">
        <v>446</v>
      </c>
      <c r="E749">
        <v>-195849263.49000001</v>
      </c>
      <c r="F749" t="s">
        <v>379</v>
      </c>
      <c r="G749" t="s">
        <v>447</v>
      </c>
      <c r="H749">
        <v>181009160103</v>
      </c>
      <c r="I749" t="str">
        <f>CashIntraTable[Portfolio]&amp;VALUE(CashIntraTable[Cash Date])&amp;CashIntraTable[Detail]</f>
        <v>SCBSFF433832.1. Redemption</v>
      </c>
    </row>
    <row r="750" spans="1:9" x14ac:dyDescent="0.2">
      <c r="A750" t="s">
        <v>17</v>
      </c>
      <c r="B750" t="s">
        <v>23</v>
      </c>
      <c r="C750" s="50">
        <v>43382</v>
      </c>
      <c r="D750" t="s">
        <v>446</v>
      </c>
      <c r="E750">
        <v>-1853576799.1600001</v>
      </c>
      <c r="F750" t="s">
        <v>380</v>
      </c>
      <c r="G750" t="s">
        <v>447</v>
      </c>
      <c r="H750">
        <v>181009160103</v>
      </c>
      <c r="I750" t="str">
        <f>CashIntraTable[Portfolio]&amp;VALUE(CashIntraTable[Cash Date])&amp;CashIntraTable[Detail]</f>
        <v>SCBSFF433822.2. Switch-out</v>
      </c>
    </row>
    <row r="751" spans="1:9" x14ac:dyDescent="0.2">
      <c r="A751" t="s">
        <v>17</v>
      </c>
      <c r="B751" t="s">
        <v>23</v>
      </c>
      <c r="C751" s="50">
        <v>43383</v>
      </c>
      <c r="D751" t="s">
        <v>446</v>
      </c>
      <c r="E751">
        <v>-261306959.31999999</v>
      </c>
      <c r="F751" t="s">
        <v>380</v>
      </c>
      <c r="G751" t="s">
        <v>447</v>
      </c>
      <c r="H751">
        <v>181009160103</v>
      </c>
      <c r="I751" t="str">
        <f>CashIntraTable[Portfolio]&amp;VALUE(CashIntraTable[Cash Date])&amp;CashIntraTable[Detail]</f>
        <v>SCBSFF433832.2. Switch-out</v>
      </c>
    </row>
    <row r="752" spans="1:9" x14ac:dyDescent="0.2">
      <c r="A752" t="s">
        <v>142</v>
      </c>
      <c r="B752" t="s">
        <v>23</v>
      </c>
      <c r="C752" s="50">
        <v>43382</v>
      </c>
      <c r="D752" t="s">
        <v>446</v>
      </c>
      <c r="E752">
        <v>749262471.69000006</v>
      </c>
      <c r="F752" t="s">
        <v>377</v>
      </c>
      <c r="G752" t="s">
        <v>447</v>
      </c>
      <c r="H752">
        <v>181009160103</v>
      </c>
      <c r="I752" t="str">
        <f>CashIntraTable[Portfolio]&amp;VALUE(CashIntraTable[Cash Date])&amp;CashIntraTable[Detail]</f>
        <v>SCBSFFPLUS433821.1. Subscription</v>
      </c>
    </row>
    <row r="753" spans="1:9" x14ac:dyDescent="0.2">
      <c r="A753" t="s">
        <v>142</v>
      </c>
      <c r="B753" t="s">
        <v>23</v>
      </c>
      <c r="C753" s="50">
        <v>43383</v>
      </c>
      <c r="D753" t="s">
        <v>446</v>
      </c>
      <c r="E753">
        <v>317496396.74000001</v>
      </c>
      <c r="F753" t="s">
        <v>377</v>
      </c>
      <c r="G753" t="s">
        <v>447</v>
      </c>
      <c r="H753">
        <v>181009160103</v>
      </c>
      <c r="I753" t="str">
        <f>CashIntraTable[Portfolio]&amp;VALUE(CashIntraTable[Cash Date])&amp;CashIntraTable[Detail]</f>
        <v>SCBSFFPLUS433831.1. Subscription</v>
      </c>
    </row>
    <row r="754" spans="1:9" x14ac:dyDescent="0.2">
      <c r="A754" t="s">
        <v>142</v>
      </c>
      <c r="B754" t="s">
        <v>23</v>
      </c>
      <c r="C754" s="50">
        <v>43382</v>
      </c>
      <c r="D754" t="s">
        <v>446</v>
      </c>
      <c r="E754">
        <v>122291913.59999999</v>
      </c>
      <c r="F754" t="s">
        <v>381</v>
      </c>
      <c r="G754" t="s">
        <v>447</v>
      </c>
      <c r="H754">
        <v>181009160103</v>
      </c>
      <c r="I754" t="str">
        <f>CashIntraTable[Portfolio]&amp;VALUE(CashIntraTable[Cash Date])&amp;CashIntraTable[Detail]</f>
        <v>SCBSFFPLUS433821.1. Subscription (Chq)</v>
      </c>
    </row>
    <row r="755" spans="1:9" x14ac:dyDescent="0.2">
      <c r="A755" t="s">
        <v>142</v>
      </c>
      <c r="B755" t="s">
        <v>23</v>
      </c>
      <c r="C755" s="50">
        <v>43383</v>
      </c>
      <c r="D755" t="s">
        <v>446</v>
      </c>
      <c r="E755">
        <v>70798500</v>
      </c>
      <c r="F755" t="s">
        <v>381</v>
      </c>
      <c r="G755" t="s">
        <v>447</v>
      </c>
      <c r="H755">
        <v>181009160103</v>
      </c>
      <c r="I755" t="str">
        <f>CashIntraTable[Portfolio]&amp;VALUE(CashIntraTable[Cash Date])&amp;CashIntraTable[Detail]</f>
        <v>SCBSFFPLUS433831.1. Subscription (Chq)</v>
      </c>
    </row>
    <row r="756" spans="1:9" x14ac:dyDescent="0.2">
      <c r="A756" t="s">
        <v>142</v>
      </c>
      <c r="B756" t="s">
        <v>23</v>
      </c>
      <c r="C756" s="50">
        <v>43382</v>
      </c>
      <c r="D756" t="s">
        <v>446</v>
      </c>
      <c r="E756">
        <v>235001866.59</v>
      </c>
      <c r="F756" t="s">
        <v>378</v>
      </c>
      <c r="G756" t="s">
        <v>447</v>
      </c>
      <c r="H756">
        <v>181009160103</v>
      </c>
      <c r="I756" t="str">
        <f>CashIntraTable[Portfolio]&amp;VALUE(CashIntraTable[Cash Date])&amp;CashIntraTable[Detail]</f>
        <v>SCBSFFPLUS433821.2. Switch-in</v>
      </c>
    </row>
    <row r="757" spans="1:9" x14ac:dyDescent="0.2">
      <c r="A757" t="s">
        <v>142</v>
      </c>
      <c r="B757" t="s">
        <v>23</v>
      </c>
      <c r="C757" s="50">
        <v>43383</v>
      </c>
      <c r="D757" t="s">
        <v>446</v>
      </c>
      <c r="E757">
        <v>116239167.38</v>
      </c>
      <c r="F757" t="s">
        <v>378</v>
      </c>
      <c r="G757" t="s">
        <v>447</v>
      </c>
      <c r="H757">
        <v>181009160103</v>
      </c>
      <c r="I757" t="str">
        <f>CashIntraTable[Portfolio]&amp;VALUE(CashIntraTable[Cash Date])&amp;CashIntraTable[Detail]</f>
        <v>SCBSFFPLUS433831.2. Switch-in</v>
      </c>
    </row>
    <row r="758" spans="1:9" x14ac:dyDescent="0.2">
      <c r="A758" t="s">
        <v>142</v>
      </c>
      <c r="B758" t="s">
        <v>23</v>
      </c>
      <c r="C758" s="50">
        <v>43384</v>
      </c>
      <c r="D758" t="s">
        <v>446</v>
      </c>
      <c r="E758">
        <v>57162848.939999998</v>
      </c>
      <c r="F758" t="s">
        <v>378</v>
      </c>
      <c r="G758" t="s">
        <v>447</v>
      </c>
      <c r="H758">
        <v>181009160103</v>
      </c>
      <c r="I758" t="str">
        <f>CashIntraTable[Portfolio]&amp;VALUE(CashIntraTable[Cash Date])&amp;CashIntraTable[Detail]</f>
        <v>SCBSFFPLUS433841.2. Switch-in</v>
      </c>
    </row>
    <row r="759" spans="1:9" x14ac:dyDescent="0.2">
      <c r="A759" t="s">
        <v>142</v>
      </c>
      <c r="B759" t="s">
        <v>23</v>
      </c>
      <c r="C759" s="50">
        <v>43385</v>
      </c>
      <c r="D759" t="s">
        <v>446</v>
      </c>
      <c r="E759">
        <v>29825530.190000001</v>
      </c>
      <c r="F759" t="s">
        <v>378</v>
      </c>
      <c r="G759" t="s">
        <v>447</v>
      </c>
      <c r="H759">
        <v>181009160103</v>
      </c>
      <c r="I759" t="str">
        <f>CashIntraTable[Portfolio]&amp;VALUE(CashIntraTable[Cash Date])&amp;CashIntraTable[Detail]</f>
        <v>SCBSFFPLUS433851.2. Switch-in</v>
      </c>
    </row>
    <row r="760" spans="1:9" x14ac:dyDescent="0.2">
      <c r="A760" t="s">
        <v>142</v>
      </c>
      <c r="B760" t="s">
        <v>23</v>
      </c>
      <c r="C760" s="50">
        <v>43389</v>
      </c>
      <c r="D760" t="s">
        <v>446</v>
      </c>
      <c r="E760">
        <v>28159659.449999999</v>
      </c>
      <c r="F760" t="s">
        <v>378</v>
      </c>
      <c r="G760" t="s">
        <v>447</v>
      </c>
      <c r="H760">
        <v>181009160103</v>
      </c>
      <c r="I760" t="str">
        <f>CashIntraTable[Portfolio]&amp;VALUE(CashIntraTable[Cash Date])&amp;CashIntraTable[Detail]</f>
        <v>SCBSFFPLUS433891.2. Switch-in</v>
      </c>
    </row>
    <row r="761" spans="1:9" x14ac:dyDescent="0.2">
      <c r="A761" t="s">
        <v>142</v>
      </c>
      <c r="B761" t="s">
        <v>23</v>
      </c>
      <c r="C761" s="50">
        <v>43390</v>
      </c>
      <c r="D761" t="s">
        <v>446</v>
      </c>
      <c r="E761">
        <v>13438758.119999999</v>
      </c>
      <c r="F761" t="s">
        <v>378</v>
      </c>
      <c r="G761" t="s">
        <v>447</v>
      </c>
      <c r="H761">
        <v>181009160103</v>
      </c>
      <c r="I761" t="str">
        <f>CashIntraTable[Portfolio]&amp;VALUE(CashIntraTable[Cash Date])&amp;CashIntraTable[Detail]</f>
        <v>SCBSFFPLUS433901.2. Switch-in</v>
      </c>
    </row>
    <row r="762" spans="1:9" x14ac:dyDescent="0.2">
      <c r="A762" t="s">
        <v>142</v>
      </c>
      <c r="B762" t="s">
        <v>23</v>
      </c>
      <c r="C762" s="50">
        <v>43391</v>
      </c>
      <c r="D762" t="s">
        <v>446</v>
      </c>
      <c r="E762">
        <v>23790.48</v>
      </c>
      <c r="F762" t="s">
        <v>378</v>
      </c>
      <c r="G762" t="s">
        <v>447</v>
      </c>
      <c r="H762">
        <v>181009160103</v>
      </c>
      <c r="I762" t="str">
        <f>CashIntraTable[Portfolio]&amp;VALUE(CashIntraTable[Cash Date])&amp;CashIntraTable[Detail]</f>
        <v>SCBSFFPLUS433911.2. Switch-in</v>
      </c>
    </row>
    <row r="763" spans="1:9" x14ac:dyDescent="0.2">
      <c r="A763" t="s">
        <v>142</v>
      </c>
      <c r="B763" t="s">
        <v>23</v>
      </c>
      <c r="C763" s="50">
        <v>43404</v>
      </c>
      <c r="D763" t="s">
        <v>446</v>
      </c>
      <c r="E763">
        <v>499353.41</v>
      </c>
      <c r="F763" t="s">
        <v>378</v>
      </c>
      <c r="G763" t="s">
        <v>447</v>
      </c>
      <c r="H763">
        <v>181009160103</v>
      </c>
      <c r="I763" t="str">
        <f>CashIntraTable[Portfolio]&amp;VALUE(CashIntraTable[Cash Date])&amp;CashIntraTable[Detail]</f>
        <v>SCBSFFPLUS434041.2. Switch-in</v>
      </c>
    </row>
    <row r="764" spans="1:9" x14ac:dyDescent="0.2">
      <c r="A764" t="s">
        <v>142</v>
      </c>
      <c r="B764" t="s">
        <v>23</v>
      </c>
      <c r="C764" s="50">
        <v>43382</v>
      </c>
      <c r="D764" t="s">
        <v>446</v>
      </c>
      <c r="E764">
        <v>-905904801.63999999</v>
      </c>
      <c r="F764" t="s">
        <v>379</v>
      </c>
      <c r="G764" t="s">
        <v>447</v>
      </c>
      <c r="H764">
        <v>181009160103</v>
      </c>
      <c r="I764" t="str">
        <f>CashIntraTable[Portfolio]&amp;VALUE(CashIntraTable[Cash Date])&amp;CashIntraTable[Detail]</f>
        <v>SCBSFFPLUS433822.1. Redemption</v>
      </c>
    </row>
    <row r="765" spans="1:9" x14ac:dyDescent="0.2">
      <c r="A765" t="s">
        <v>142</v>
      </c>
      <c r="B765" t="s">
        <v>23</v>
      </c>
      <c r="C765" s="50">
        <v>43383</v>
      </c>
      <c r="D765" t="s">
        <v>446</v>
      </c>
      <c r="E765">
        <v>-892716817.12</v>
      </c>
      <c r="F765" t="s">
        <v>379</v>
      </c>
      <c r="G765" t="s">
        <v>447</v>
      </c>
      <c r="H765">
        <v>181009160103</v>
      </c>
      <c r="I765" t="str">
        <f>CashIntraTable[Portfolio]&amp;VALUE(CashIntraTable[Cash Date])&amp;CashIntraTable[Detail]</f>
        <v>SCBSFFPLUS433832.1. Redemption</v>
      </c>
    </row>
    <row r="766" spans="1:9" x14ac:dyDescent="0.2">
      <c r="A766" t="s">
        <v>142</v>
      </c>
      <c r="B766" t="s">
        <v>23</v>
      </c>
      <c r="C766" s="50">
        <v>43382</v>
      </c>
      <c r="D766" t="s">
        <v>446</v>
      </c>
      <c r="E766">
        <v>-1338613677.0699999</v>
      </c>
      <c r="F766" t="s">
        <v>380</v>
      </c>
      <c r="G766" t="s">
        <v>447</v>
      </c>
      <c r="H766">
        <v>181009160103</v>
      </c>
      <c r="I766" t="str">
        <f>CashIntraTable[Portfolio]&amp;VALUE(CashIntraTable[Cash Date])&amp;CashIntraTable[Detail]</f>
        <v>SCBSFFPLUS433822.2. Switch-out</v>
      </c>
    </row>
    <row r="767" spans="1:9" x14ac:dyDescent="0.2">
      <c r="A767" t="s">
        <v>142</v>
      </c>
      <c r="B767" t="s">
        <v>23</v>
      </c>
      <c r="C767" s="50">
        <v>43383</v>
      </c>
      <c r="D767" t="s">
        <v>446</v>
      </c>
      <c r="E767">
        <v>-193601544.80000001</v>
      </c>
      <c r="F767" t="s">
        <v>380</v>
      </c>
      <c r="G767" t="s">
        <v>447</v>
      </c>
      <c r="H767">
        <v>181009160103</v>
      </c>
      <c r="I767" t="str">
        <f>CashIntraTable[Portfolio]&amp;VALUE(CashIntraTable[Cash Date])&amp;CashIntraTable[Detail]</f>
        <v>SCBSFFPLUS433832.2. Switch-out</v>
      </c>
    </row>
    <row r="768" spans="1:9" x14ac:dyDescent="0.2">
      <c r="A768" t="s">
        <v>527</v>
      </c>
      <c r="B768" t="s">
        <v>23</v>
      </c>
      <c r="C768" s="50">
        <v>43382</v>
      </c>
      <c r="D768" t="s">
        <v>446</v>
      </c>
      <c r="E768">
        <v>1005.32</v>
      </c>
      <c r="F768" t="s">
        <v>377</v>
      </c>
      <c r="G768" t="s">
        <v>447</v>
      </c>
      <c r="H768">
        <v>181009160103</v>
      </c>
      <c r="I768" t="str">
        <f>CashIntraTable[Portfolio]&amp;VALUE(CashIntraTable[Cash Date])&amp;CashIntraTable[Detail]</f>
        <v>SCBSMART2FUND433821.1. Subscription</v>
      </c>
    </row>
    <row r="769" spans="1:17" x14ac:dyDescent="0.2">
      <c r="A769" t="s">
        <v>527</v>
      </c>
      <c r="B769" t="s">
        <v>23</v>
      </c>
      <c r="C769" s="50">
        <v>43383</v>
      </c>
      <c r="D769" t="s">
        <v>446</v>
      </c>
      <c r="E769">
        <v>5000</v>
      </c>
      <c r="F769" t="s">
        <v>377</v>
      </c>
      <c r="G769" t="s">
        <v>447</v>
      </c>
      <c r="H769">
        <v>181009160103</v>
      </c>
      <c r="I769" t="str">
        <f>CashIntraTable[Portfolio]&amp;VALUE(CashIntraTable[Cash Date])&amp;CashIntraTable[Detail]</f>
        <v>SCBSMART2FUND433831.1. Subscription</v>
      </c>
    </row>
    <row r="770" spans="1:17" x14ac:dyDescent="0.2">
      <c r="A770" t="s">
        <v>527</v>
      </c>
      <c r="B770" t="s">
        <v>23</v>
      </c>
      <c r="C770" s="50">
        <v>43382</v>
      </c>
      <c r="D770" t="s">
        <v>446</v>
      </c>
      <c r="E770">
        <v>10188.18</v>
      </c>
      <c r="F770" t="s">
        <v>378</v>
      </c>
      <c r="G770" t="s">
        <v>447</v>
      </c>
      <c r="H770">
        <v>181009160103</v>
      </c>
      <c r="I770" t="str">
        <f>CashIntraTable[Portfolio]&amp;VALUE(CashIntraTable[Cash Date])&amp;CashIntraTable[Detail]</f>
        <v>SCBSMART2FUND433821.2. Switch-in</v>
      </c>
    </row>
    <row r="771" spans="1:17" x14ac:dyDescent="0.2">
      <c r="A771" t="s">
        <v>527</v>
      </c>
      <c r="B771" t="s">
        <v>23</v>
      </c>
      <c r="C771" s="50">
        <v>43383</v>
      </c>
      <c r="D771" t="s">
        <v>446</v>
      </c>
      <c r="E771">
        <v>5000</v>
      </c>
      <c r="F771" t="s">
        <v>378</v>
      </c>
      <c r="G771" t="s">
        <v>447</v>
      </c>
      <c r="H771">
        <v>181009160103</v>
      </c>
      <c r="I771" t="str">
        <f>CashIntraTable[Portfolio]&amp;VALUE(CashIntraTable[Cash Date])&amp;CashIntraTable[Detail]</f>
        <v>SCBSMART2FUND433831.2. Switch-in</v>
      </c>
    </row>
    <row r="772" spans="1:17" x14ac:dyDescent="0.2">
      <c r="A772" t="s">
        <v>527</v>
      </c>
      <c r="B772" t="s">
        <v>23</v>
      </c>
      <c r="C772" s="50">
        <v>43383</v>
      </c>
      <c r="D772" t="s">
        <v>446</v>
      </c>
      <c r="E772">
        <v>-969857.11</v>
      </c>
      <c r="F772" t="s">
        <v>379</v>
      </c>
      <c r="G772" t="s">
        <v>447</v>
      </c>
      <c r="H772">
        <v>181009160103</v>
      </c>
      <c r="I772" t="str">
        <f>CashIntraTable[Portfolio]&amp;VALUE(CashIntraTable[Cash Date])&amp;CashIntraTable[Detail]</f>
        <v>SCBSMART2FUND433832.1. Redemption</v>
      </c>
    </row>
    <row r="773" spans="1:17" x14ac:dyDescent="0.2">
      <c r="A773" t="s">
        <v>527</v>
      </c>
      <c r="B773" t="s">
        <v>23</v>
      </c>
      <c r="C773" s="50">
        <v>43382</v>
      </c>
      <c r="D773" t="s">
        <v>446</v>
      </c>
      <c r="E773">
        <v>-2972138.87</v>
      </c>
      <c r="F773" t="s">
        <v>380</v>
      </c>
      <c r="G773" t="s">
        <v>447</v>
      </c>
      <c r="H773">
        <v>181009160103</v>
      </c>
      <c r="I773" t="str">
        <f>CashIntraTable[Portfolio]&amp;VALUE(CashIntraTable[Cash Date])&amp;CashIntraTable[Detail]</f>
        <v>SCBSMART2FUND433822.2. Switch-out</v>
      </c>
    </row>
    <row r="774" spans="1:17" x14ac:dyDescent="0.2">
      <c r="A774" t="s">
        <v>528</v>
      </c>
      <c r="B774" t="s">
        <v>23</v>
      </c>
      <c r="C774" s="50">
        <v>43383</v>
      </c>
      <c r="D774" t="s">
        <v>446</v>
      </c>
      <c r="E774">
        <v>-243880.93</v>
      </c>
      <c r="F774" t="s">
        <v>380</v>
      </c>
      <c r="G774" t="s">
        <v>447</v>
      </c>
      <c r="H774">
        <v>181009160103</v>
      </c>
      <c r="I774" t="str">
        <f>CashIntraTable[Portfolio]&amp;VALUE(CashIntraTable[Cash Date])&amp;CashIntraTable[Detail]</f>
        <v>SCBSMART3433832.2. Switch-out</v>
      </c>
    </row>
    <row r="775" spans="1:17" x14ac:dyDescent="0.2">
      <c r="A775" t="s">
        <v>529</v>
      </c>
      <c r="B775" t="s">
        <v>23</v>
      </c>
      <c r="C775" s="50">
        <v>43382</v>
      </c>
      <c r="D775" t="s">
        <v>446</v>
      </c>
      <c r="E775">
        <v>-955.32</v>
      </c>
      <c r="F775" t="s">
        <v>379</v>
      </c>
      <c r="G775" t="s">
        <v>447</v>
      </c>
      <c r="H775">
        <v>181009160103</v>
      </c>
      <c r="I775" t="str">
        <f>CashIntraTable[Portfolio]&amp;VALUE(CashIntraTable[Cash Date])&amp;CashIntraTable[Detail]</f>
        <v>SCBSMART4433822.1. Redemption</v>
      </c>
    </row>
    <row r="776" spans="1:17" x14ac:dyDescent="0.2">
      <c r="A776" t="s">
        <v>529</v>
      </c>
      <c r="B776" t="s">
        <v>23</v>
      </c>
      <c r="C776" s="50">
        <v>43384</v>
      </c>
      <c r="D776" t="s">
        <v>446</v>
      </c>
      <c r="E776">
        <v>-171732.85</v>
      </c>
      <c r="F776" t="s">
        <v>379</v>
      </c>
      <c r="G776" t="s">
        <v>447</v>
      </c>
      <c r="H776">
        <v>181009160103</v>
      </c>
      <c r="I776" t="str">
        <f>CashIntraTable[Portfolio]&amp;VALUE(CashIntraTable[Cash Date])&amp;CashIntraTable[Detail]</f>
        <v>SCBSMART4433842.1. Redemption</v>
      </c>
    </row>
    <row r="777" spans="1:17" x14ac:dyDescent="0.2">
      <c r="A777" t="s">
        <v>529</v>
      </c>
      <c r="B777" t="s">
        <v>23</v>
      </c>
      <c r="C777" s="50">
        <v>43385</v>
      </c>
      <c r="D777" t="s">
        <v>446</v>
      </c>
      <c r="E777">
        <v>-9000</v>
      </c>
      <c r="F777" t="s">
        <v>379</v>
      </c>
      <c r="G777" t="s">
        <v>447</v>
      </c>
      <c r="H777">
        <v>181009160103</v>
      </c>
      <c r="I777" t="str">
        <f>CashIntraTable[Portfolio]&amp;VALUE(CashIntraTable[Cash Date])&amp;CashIntraTable[Detail]</f>
        <v>SCBSMART4433852.1. Redemption</v>
      </c>
      <c r="Q777" t="e">
        <f>_xlfn.NUMBERVALUE(#REF!)</f>
        <v>#REF!</v>
      </c>
    </row>
    <row r="778" spans="1:17" x14ac:dyDescent="0.2">
      <c r="A778" t="s">
        <v>529</v>
      </c>
      <c r="B778" t="s">
        <v>23</v>
      </c>
      <c r="C778" s="50">
        <v>43383</v>
      </c>
      <c r="D778" t="s">
        <v>446</v>
      </c>
      <c r="E778">
        <v>-50249</v>
      </c>
      <c r="F778" t="s">
        <v>380</v>
      </c>
      <c r="G778" t="s">
        <v>447</v>
      </c>
      <c r="H778">
        <v>181009160103</v>
      </c>
      <c r="I778" t="str">
        <f>CashIntraTable[Portfolio]&amp;VALUE(CashIntraTable[Cash Date])&amp;CashIntraTable[Detail]</f>
        <v>SCBSMART4433832.2. Switch-out</v>
      </c>
    </row>
    <row r="779" spans="1:17" x14ac:dyDescent="0.2">
      <c r="A779" t="s">
        <v>529</v>
      </c>
      <c r="B779" t="s">
        <v>23</v>
      </c>
      <c r="C779" s="50">
        <v>43384</v>
      </c>
      <c r="D779" t="s">
        <v>446</v>
      </c>
      <c r="E779">
        <v>-293741.25</v>
      </c>
      <c r="F779" t="s">
        <v>380</v>
      </c>
      <c r="G779" t="s">
        <v>447</v>
      </c>
      <c r="H779">
        <v>181009160103</v>
      </c>
      <c r="I779" t="str">
        <f>CashIntraTable[Portfolio]&amp;VALUE(CashIntraTable[Cash Date])&amp;CashIntraTable[Detail]</f>
        <v>SCBSMART4433842.2. Switch-out</v>
      </c>
    </row>
    <row r="780" spans="1:17" ht="11.25" customHeight="1" x14ac:dyDescent="0.2">
      <c r="A780" t="s">
        <v>530</v>
      </c>
      <c r="B780" t="s">
        <v>23</v>
      </c>
      <c r="C780" s="50">
        <v>43382</v>
      </c>
      <c r="D780" t="s">
        <v>446</v>
      </c>
      <c r="E780">
        <v>-950000</v>
      </c>
      <c r="F780" t="s">
        <v>380</v>
      </c>
      <c r="G780" t="s">
        <v>447</v>
      </c>
      <c r="H780">
        <v>181009160103</v>
      </c>
      <c r="I780" t="str">
        <f>CashIntraTable[Portfolio]&amp;VALUE(CashIntraTable[Cash Date])&amp;CashIntraTable[Detail]</f>
        <v>SCBST555A433822.2. Switch-out</v>
      </c>
    </row>
    <row r="781" spans="1:17" x14ac:dyDescent="0.2">
      <c r="A781" t="s">
        <v>531</v>
      </c>
      <c r="B781" t="s">
        <v>23</v>
      </c>
      <c r="C781" s="50">
        <v>43382</v>
      </c>
      <c r="D781" t="s">
        <v>446</v>
      </c>
      <c r="E781">
        <v>-389065</v>
      </c>
      <c r="F781" t="s">
        <v>379</v>
      </c>
      <c r="G781" t="s">
        <v>447</v>
      </c>
      <c r="H781">
        <v>181009160103</v>
      </c>
      <c r="I781" t="str">
        <f>CashIntraTable[Portfolio]&amp;VALUE(CashIntraTable[Cash Date])&amp;CashIntraTable[Detail]</f>
        <v>SCBST555B433822.1. Redemption</v>
      </c>
    </row>
    <row r="782" spans="1:17" x14ac:dyDescent="0.2">
      <c r="A782" t="s">
        <v>531</v>
      </c>
      <c r="B782" t="s">
        <v>23</v>
      </c>
      <c r="C782" s="50">
        <v>43383</v>
      </c>
      <c r="D782" t="s">
        <v>446</v>
      </c>
      <c r="E782">
        <v>-2914663.11</v>
      </c>
      <c r="F782" t="s">
        <v>380</v>
      </c>
      <c r="G782" t="s">
        <v>447</v>
      </c>
      <c r="H782">
        <v>181009160103</v>
      </c>
      <c r="I782" t="str">
        <f>CashIntraTable[Portfolio]&amp;VALUE(CashIntraTable[Cash Date])&amp;CashIntraTable[Detail]</f>
        <v>SCBST555B433832.2. Switch-out</v>
      </c>
    </row>
    <row r="783" spans="1:17" x14ac:dyDescent="0.2">
      <c r="A783" t="s">
        <v>531</v>
      </c>
      <c r="B783" t="s">
        <v>23</v>
      </c>
      <c r="C783" s="50">
        <v>43385</v>
      </c>
      <c r="D783" t="s">
        <v>446</v>
      </c>
      <c r="E783">
        <v>-488235.66</v>
      </c>
      <c r="F783" t="s">
        <v>380</v>
      </c>
      <c r="G783" t="s">
        <v>447</v>
      </c>
      <c r="H783">
        <v>181009160103</v>
      </c>
      <c r="I783" t="str">
        <f>CashIntraTable[Portfolio]&amp;VALUE(CashIntraTable[Cash Date])&amp;CashIntraTable[Detail]</f>
        <v>SCBST555B433852.2. Switch-out</v>
      </c>
    </row>
    <row r="784" spans="1:17" x14ac:dyDescent="0.2">
      <c r="A784" t="s">
        <v>532</v>
      </c>
      <c r="B784" t="s">
        <v>23</v>
      </c>
      <c r="C784" s="50">
        <v>43382</v>
      </c>
      <c r="D784" t="s">
        <v>446</v>
      </c>
      <c r="E784">
        <v>22117.1</v>
      </c>
      <c r="F784" t="s">
        <v>377</v>
      </c>
      <c r="G784" t="s">
        <v>447</v>
      </c>
      <c r="H784">
        <v>181009160103</v>
      </c>
      <c r="I784" t="str">
        <f>CashIntraTable[Portfolio]&amp;VALUE(CashIntraTable[Cash Date])&amp;CashIntraTable[Detail]</f>
        <v>SCBTEQFUND433821.1. Subscription</v>
      </c>
    </row>
    <row r="785" spans="1:9" x14ac:dyDescent="0.2">
      <c r="A785" t="s">
        <v>532</v>
      </c>
      <c r="B785" t="s">
        <v>23</v>
      </c>
      <c r="C785" s="50">
        <v>43383</v>
      </c>
      <c r="D785" t="s">
        <v>446</v>
      </c>
      <c r="E785">
        <v>211000</v>
      </c>
      <c r="F785" t="s">
        <v>377</v>
      </c>
      <c r="G785" t="s">
        <v>447</v>
      </c>
      <c r="H785">
        <v>181009160103</v>
      </c>
      <c r="I785" t="str">
        <f>CashIntraTable[Portfolio]&amp;VALUE(CashIntraTable[Cash Date])&amp;CashIntraTable[Detail]</f>
        <v>SCBTEQFUND433831.1. Subscription</v>
      </c>
    </row>
    <row r="786" spans="1:9" x14ac:dyDescent="0.2">
      <c r="A786" t="s">
        <v>532</v>
      </c>
      <c r="B786" t="s">
        <v>23</v>
      </c>
      <c r="C786" s="50">
        <v>43382</v>
      </c>
      <c r="D786" t="s">
        <v>446</v>
      </c>
      <c r="E786">
        <v>4000</v>
      </c>
      <c r="F786" t="s">
        <v>378</v>
      </c>
      <c r="G786" t="s">
        <v>447</v>
      </c>
      <c r="H786">
        <v>181009160103</v>
      </c>
      <c r="I786" t="str">
        <f>CashIntraTable[Portfolio]&amp;VALUE(CashIntraTable[Cash Date])&amp;CashIntraTable[Detail]</f>
        <v>SCBTEQFUND433821.2. Switch-in</v>
      </c>
    </row>
    <row r="787" spans="1:9" x14ac:dyDescent="0.2">
      <c r="A787" t="s">
        <v>532</v>
      </c>
      <c r="B787" t="s">
        <v>23</v>
      </c>
      <c r="C787" s="50">
        <v>43383</v>
      </c>
      <c r="D787" t="s">
        <v>446</v>
      </c>
      <c r="E787">
        <v>6000</v>
      </c>
      <c r="F787" t="s">
        <v>378</v>
      </c>
      <c r="G787" t="s">
        <v>447</v>
      </c>
      <c r="H787">
        <v>181009160103</v>
      </c>
      <c r="I787" t="str">
        <f>CashIntraTable[Portfolio]&amp;VALUE(CashIntraTable[Cash Date])&amp;CashIntraTable[Detail]</f>
        <v>SCBTEQFUND433831.2. Switch-in</v>
      </c>
    </row>
    <row r="788" spans="1:9" x14ac:dyDescent="0.2">
      <c r="A788" t="s">
        <v>532</v>
      </c>
      <c r="B788" t="s">
        <v>23</v>
      </c>
      <c r="C788" s="50">
        <v>43382</v>
      </c>
      <c r="D788" t="s">
        <v>446</v>
      </c>
      <c r="E788">
        <v>-316734.88</v>
      </c>
      <c r="F788" t="s">
        <v>379</v>
      </c>
      <c r="G788" t="s">
        <v>447</v>
      </c>
      <c r="H788">
        <v>181009160103</v>
      </c>
      <c r="I788" t="str">
        <f>CashIntraTable[Portfolio]&amp;VALUE(CashIntraTable[Cash Date])&amp;CashIntraTable[Detail]</f>
        <v>SCBTEQFUND433822.1. Redemption</v>
      </c>
    </row>
    <row r="789" spans="1:9" x14ac:dyDescent="0.2">
      <c r="A789" t="s">
        <v>532</v>
      </c>
      <c r="B789" t="s">
        <v>23</v>
      </c>
      <c r="C789" s="50">
        <v>43383</v>
      </c>
      <c r="D789" t="s">
        <v>446</v>
      </c>
      <c r="E789">
        <v>-452741.01</v>
      </c>
      <c r="F789" t="s">
        <v>379</v>
      </c>
      <c r="G789" t="s">
        <v>447</v>
      </c>
      <c r="H789">
        <v>181009160103</v>
      </c>
      <c r="I789" t="str">
        <f>CashIntraTable[Portfolio]&amp;VALUE(CashIntraTable[Cash Date])&amp;CashIntraTable[Detail]</f>
        <v>SCBTEQFUND433832.1. Redemption</v>
      </c>
    </row>
    <row r="790" spans="1:9" x14ac:dyDescent="0.2">
      <c r="A790" t="s">
        <v>532</v>
      </c>
      <c r="B790" t="s">
        <v>23</v>
      </c>
      <c r="C790" s="50">
        <v>43384</v>
      </c>
      <c r="D790" t="s">
        <v>446</v>
      </c>
      <c r="E790">
        <v>-202417.71</v>
      </c>
      <c r="F790" t="s">
        <v>379</v>
      </c>
      <c r="G790" t="s">
        <v>447</v>
      </c>
      <c r="H790">
        <v>181009160103</v>
      </c>
      <c r="I790" t="str">
        <f>CashIntraTable[Portfolio]&amp;VALUE(CashIntraTable[Cash Date])&amp;CashIntraTable[Detail]</f>
        <v>SCBTEQFUND433842.1. Redemption</v>
      </c>
    </row>
    <row r="791" spans="1:9" x14ac:dyDescent="0.2">
      <c r="A791" t="s">
        <v>533</v>
      </c>
      <c r="B791" t="s">
        <v>23</v>
      </c>
      <c r="C791" s="50">
        <v>43382</v>
      </c>
      <c r="D791" t="s">
        <v>446</v>
      </c>
      <c r="E791">
        <v>1600393.31</v>
      </c>
      <c r="F791" t="s">
        <v>377</v>
      </c>
      <c r="G791" t="s">
        <v>447</v>
      </c>
      <c r="H791">
        <v>181009160103</v>
      </c>
      <c r="I791" t="str">
        <f>CashIntraTable[Portfolio]&amp;VALUE(CashIntraTable[Cash Date])&amp;CashIntraTable[Detail]</f>
        <v>SCBTHAICG433821.1. Subscription</v>
      </c>
    </row>
    <row r="792" spans="1:9" x14ac:dyDescent="0.2">
      <c r="A792" t="s">
        <v>533</v>
      </c>
      <c r="B792" t="s">
        <v>23</v>
      </c>
      <c r="C792" s="50">
        <v>43383</v>
      </c>
      <c r="D792" t="s">
        <v>446</v>
      </c>
      <c r="E792">
        <v>6600</v>
      </c>
      <c r="F792" t="s">
        <v>377</v>
      </c>
      <c r="G792" t="s">
        <v>447</v>
      </c>
      <c r="H792">
        <v>181009160103</v>
      </c>
      <c r="I792" t="str">
        <f>CashIntraTable[Portfolio]&amp;VALUE(CashIntraTable[Cash Date])&amp;CashIntraTable[Detail]</f>
        <v>SCBTHAICG433831.1. Subscription</v>
      </c>
    </row>
    <row r="793" spans="1:9" x14ac:dyDescent="0.2">
      <c r="A793" t="s">
        <v>533</v>
      </c>
      <c r="B793" t="s">
        <v>23</v>
      </c>
      <c r="C793" s="50">
        <v>43382</v>
      </c>
      <c r="D793" t="s">
        <v>446</v>
      </c>
      <c r="E793">
        <v>1000</v>
      </c>
      <c r="F793" t="s">
        <v>378</v>
      </c>
      <c r="G793" t="s">
        <v>447</v>
      </c>
      <c r="H793">
        <v>181009160103</v>
      </c>
      <c r="I793" t="str">
        <f>CashIntraTable[Portfolio]&amp;VALUE(CashIntraTable[Cash Date])&amp;CashIntraTable[Detail]</f>
        <v>SCBTHAICG433821.2. Switch-in</v>
      </c>
    </row>
    <row r="794" spans="1:9" x14ac:dyDescent="0.2">
      <c r="A794" t="s">
        <v>533</v>
      </c>
      <c r="B794" t="s">
        <v>23</v>
      </c>
      <c r="C794" s="50">
        <v>43383</v>
      </c>
      <c r="D794" t="s">
        <v>446</v>
      </c>
      <c r="E794">
        <v>2200000</v>
      </c>
      <c r="F794" t="s">
        <v>378</v>
      </c>
      <c r="G794" t="s">
        <v>447</v>
      </c>
      <c r="H794">
        <v>181009160103</v>
      </c>
      <c r="I794" t="str">
        <f>CashIntraTable[Portfolio]&amp;VALUE(CashIntraTable[Cash Date])&amp;CashIntraTable[Detail]</f>
        <v>SCBTHAICG433831.2. Switch-in</v>
      </c>
    </row>
    <row r="795" spans="1:9" x14ac:dyDescent="0.2">
      <c r="A795" t="s">
        <v>533</v>
      </c>
      <c r="B795" t="s">
        <v>23</v>
      </c>
      <c r="C795" s="50">
        <v>43383</v>
      </c>
      <c r="D795" t="s">
        <v>446</v>
      </c>
      <c r="E795">
        <v>-38338.57</v>
      </c>
      <c r="F795" t="s">
        <v>379</v>
      </c>
      <c r="G795" t="s">
        <v>447</v>
      </c>
      <c r="H795">
        <v>181009160103</v>
      </c>
      <c r="I795" t="str">
        <f>CashIntraTable[Portfolio]&amp;VALUE(CashIntraTable[Cash Date])&amp;CashIntraTable[Detail]</f>
        <v>SCBTHAICG433832.1. Redemption</v>
      </c>
    </row>
    <row r="796" spans="1:9" x14ac:dyDescent="0.2">
      <c r="A796" t="s">
        <v>533</v>
      </c>
      <c r="B796" t="s">
        <v>23</v>
      </c>
      <c r="C796" s="50">
        <v>43384</v>
      </c>
      <c r="D796" t="s">
        <v>446</v>
      </c>
      <c r="E796">
        <v>-1700</v>
      </c>
      <c r="F796" t="s">
        <v>379</v>
      </c>
      <c r="G796" t="s">
        <v>447</v>
      </c>
      <c r="H796">
        <v>181009160103</v>
      </c>
      <c r="I796" t="str">
        <f>CashIntraTable[Portfolio]&amp;VALUE(CashIntraTable[Cash Date])&amp;CashIntraTable[Detail]</f>
        <v>SCBTHAICG433842.1. Redemption</v>
      </c>
    </row>
    <row r="797" spans="1:9" x14ac:dyDescent="0.2">
      <c r="A797" t="s">
        <v>533</v>
      </c>
      <c r="B797" t="s">
        <v>23</v>
      </c>
      <c r="C797" s="50">
        <v>43383</v>
      </c>
      <c r="D797" t="s">
        <v>446</v>
      </c>
      <c r="E797">
        <v>-600000</v>
      </c>
      <c r="F797" t="s">
        <v>380</v>
      </c>
      <c r="G797" t="s">
        <v>447</v>
      </c>
      <c r="H797">
        <v>181009160103</v>
      </c>
      <c r="I797" t="str">
        <f>CashIntraTable[Portfolio]&amp;VALUE(CashIntraTable[Cash Date])&amp;CashIntraTable[Detail]</f>
        <v>SCBTHAICG433832.2. Switch-out</v>
      </c>
    </row>
    <row r="798" spans="1:9" x14ac:dyDescent="0.2">
      <c r="A798" t="s">
        <v>143</v>
      </c>
      <c r="B798" t="s">
        <v>23</v>
      </c>
      <c r="C798" s="50">
        <v>43382</v>
      </c>
      <c r="D798" t="s">
        <v>446</v>
      </c>
      <c r="E798">
        <v>2633173.7400000002</v>
      </c>
      <c r="F798" t="s">
        <v>377</v>
      </c>
      <c r="G798" t="s">
        <v>447</v>
      </c>
      <c r="H798">
        <v>181009160103</v>
      </c>
      <c r="I798" t="str">
        <f>CashIntraTable[Portfolio]&amp;VALUE(CashIntraTable[Cash Date])&amp;CashIntraTable[Detail]</f>
        <v>SCBTMF433821.1. Subscription</v>
      </c>
    </row>
    <row r="799" spans="1:9" x14ac:dyDescent="0.2">
      <c r="A799" t="s">
        <v>143</v>
      </c>
      <c r="B799" t="s">
        <v>23</v>
      </c>
      <c r="C799" s="50">
        <v>43383</v>
      </c>
      <c r="D799" t="s">
        <v>446</v>
      </c>
      <c r="E799">
        <v>8226709.5599999996</v>
      </c>
      <c r="F799" t="s">
        <v>377</v>
      </c>
      <c r="G799" t="s">
        <v>447</v>
      </c>
      <c r="H799">
        <v>181009160103</v>
      </c>
      <c r="I799" t="str">
        <f>CashIntraTable[Portfolio]&amp;VALUE(CashIntraTable[Cash Date])&amp;CashIntraTable[Detail]</f>
        <v>SCBTMF433831.1. Subscription</v>
      </c>
    </row>
    <row r="800" spans="1:9" x14ac:dyDescent="0.2">
      <c r="A800" t="s">
        <v>143</v>
      </c>
      <c r="B800" t="s">
        <v>23</v>
      </c>
      <c r="C800" s="50">
        <v>43382</v>
      </c>
      <c r="D800" t="s">
        <v>446</v>
      </c>
      <c r="E800">
        <v>2098557.69</v>
      </c>
      <c r="F800" t="s">
        <v>381</v>
      </c>
      <c r="G800" t="s">
        <v>447</v>
      </c>
      <c r="H800">
        <v>181009160103</v>
      </c>
      <c r="I800" t="str">
        <f>CashIntraTable[Portfolio]&amp;VALUE(CashIntraTable[Cash Date])&amp;CashIntraTable[Detail]</f>
        <v>SCBTMF433821.1. Subscription (Chq)</v>
      </c>
    </row>
    <row r="801" spans="1:9" x14ac:dyDescent="0.2">
      <c r="A801" t="s">
        <v>143</v>
      </c>
      <c r="B801" t="s">
        <v>23</v>
      </c>
      <c r="C801" s="50">
        <v>43382</v>
      </c>
      <c r="D801" t="s">
        <v>446</v>
      </c>
      <c r="E801">
        <v>11254.71</v>
      </c>
      <c r="F801" t="s">
        <v>378</v>
      </c>
      <c r="G801" t="s">
        <v>447</v>
      </c>
      <c r="H801">
        <v>181009160103</v>
      </c>
      <c r="I801" t="str">
        <f>CashIntraTable[Portfolio]&amp;VALUE(CashIntraTable[Cash Date])&amp;CashIntraTable[Detail]</f>
        <v>SCBTMF433821.2. Switch-in</v>
      </c>
    </row>
    <row r="802" spans="1:9" x14ac:dyDescent="0.2">
      <c r="A802" t="s">
        <v>143</v>
      </c>
      <c r="B802" t="s">
        <v>23</v>
      </c>
      <c r="C802" s="50">
        <v>43383</v>
      </c>
      <c r="D802" t="s">
        <v>446</v>
      </c>
      <c r="E802">
        <v>364437.38</v>
      </c>
      <c r="F802" t="s">
        <v>378</v>
      </c>
      <c r="G802" t="s">
        <v>447</v>
      </c>
      <c r="H802">
        <v>181009160103</v>
      </c>
      <c r="I802" t="str">
        <f>CashIntraTable[Portfolio]&amp;VALUE(CashIntraTable[Cash Date])&amp;CashIntraTable[Detail]</f>
        <v>SCBTMF433831.2. Switch-in</v>
      </c>
    </row>
    <row r="803" spans="1:9" x14ac:dyDescent="0.2">
      <c r="A803" t="s">
        <v>143</v>
      </c>
      <c r="B803" t="s">
        <v>23</v>
      </c>
      <c r="C803" s="50">
        <v>43384</v>
      </c>
      <c r="D803" t="s">
        <v>446</v>
      </c>
      <c r="E803">
        <v>700000</v>
      </c>
      <c r="F803" t="s">
        <v>378</v>
      </c>
      <c r="G803" t="s">
        <v>447</v>
      </c>
      <c r="H803">
        <v>181009160103</v>
      </c>
      <c r="I803" t="str">
        <f>CashIntraTable[Portfolio]&amp;VALUE(CashIntraTable[Cash Date])&amp;CashIntraTable[Detail]</f>
        <v>SCBTMF433841.2. Switch-in</v>
      </c>
    </row>
    <row r="804" spans="1:9" x14ac:dyDescent="0.2">
      <c r="A804" t="s">
        <v>143</v>
      </c>
      <c r="B804" t="s">
        <v>23</v>
      </c>
      <c r="C804" s="50">
        <v>43385</v>
      </c>
      <c r="D804" t="s">
        <v>446</v>
      </c>
      <c r="E804">
        <v>5021.54</v>
      </c>
      <c r="F804" t="s">
        <v>378</v>
      </c>
      <c r="G804" t="s">
        <v>447</v>
      </c>
      <c r="H804">
        <v>181009160103</v>
      </c>
      <c r="I804" t="str">
        <f>CashIntraTable[Portfolio]&amp;VALUE(CashIntraTable[Cash Date])&amp;CashIntraTable[Detail]</f>
        <v>SCBTMF433851.2. Switch-in</v>
      </c>
    </row>
    <row r="805" spans="1:9" x14ac:dyDescent="0.2">
      <c r="A805" t="s">
        <v>143</v>
      </c>
      <c r="B805" t="s">
        <v>23</v>
      </c>
      <c r="C805" s="50">
        <v>43389</v>
      </c>
      <c r="D805" t="s">
        <v>446</v>
      </c>
      <c r="E805">
        <v>3092.41</v>
      </c>
      <c r="F805" t="s">
        <v>378</v>
      </c>
      <c r="G805" t="s">
        <v>447</v>
      </c>
      <c r="H805">
        <v>181009160103</v>
      </c>
      <c r="I805" t="str">
        <f>CashIntraTable[Portfolio]&amp;VALUE(CashIntraTable[Cash Date])&amp;CashIntraTable[Detail]</f>
        <v>SCBTMF433891.2. Switch-in</v>
      </c>
    </row>
    <row r="806" spans="1:9" x14ac:dyDescent="0.2">
      <c r="A806" t="s">
        <v>143</v>
      </c>
      <c r="B806" t="s">
        <v>23</v>
      </c>
      <c r="C806" s="50">
        <v>43390</v>
      </c>
      <c r="D806" t="s">
        <v>446</v>
      </c>
      <c r="E806">
        <v>12694.73</v>
      </c>
      <c r="F806" t="s">
        <v>378</v>
      </c>
      <c r="G806" t="s">
        <v>447</v>
      </c>
      <c r="H806">
        <v>181009160103</v>
      </c>
      <c r="I806" t="str">
        <f>CashIntraTable[Portfolio]&amp;VALUE(CashIntraTable[Cash Date])&amp;CashIntraTable[Detail]</f>
        <v>SCBTMF433901.2. Switch-in</v>
      </c>
    </row>
    <row r="807" spans="1:9" x14ac:dyDescent="0.2">
      <c r="A807" t="s">
        <v>143</v>
      </c>
      <c r="B807" t="s">
        <v>23</v>
      </c>
      <c r="C807" s="50">
        <v>43382</v>
      </c>
      <c r="D807" t="s">
        <v>446</v>
      </c>
      <c r="E807">
        <v>-44548145.520000003</v>
      </c>
      <c r="F807" t="s">
        <v>379</v>
      </c>
      <c r="G807" t="s">
        <v>447</v>
      </c>
      <c r="H807">
        <v>181009160103</v>
      </c>
      <c r="I807" t="str">
        <f>CashIntraTable[Portfolio]&amp;VALUE(CashIntraTable[Cash Date])&amp;CashIntraTable[Detail]</f>
        <v>SCBTMF433822.1. Redemption</v>
      </c>
    </row>
    <row r="808" spans="1:9" x14ac:dyDescent="0.2">
      <c r="A808" t="s">
        <v>143</v>
      </c>
      <c r="B808" t="s">
        <v>23</v>
      </c>
      <c r="C808" s="50">
        <v>43383</v>
      </c>
      <c r="D808" t="s">
        <v>446</v>
      </c>
      <c r="E808">
        <v>-20415637.039999999</v>
      </c>
      <c r="F808" t="s">
        <v>379</v>
      </c>
      <c r="G808" t="s">
        <v>447</v>
      </c>
      <c r="H808">
        <v>181009160103</v>
      </c>
      <c r="I808" t="str">
        <f>CashIntraTable[Portfolio]&amp;VALUE(CashIntraTable[Cash Date])&amp;CashIntraTable[Detail]</f>
        <v>SCBTMF433832.1. Redemption</v>
      </c>
    </row>
    <row r="809" spans="1:9" x14ac:dyDescent="0.2">
      <c r="A809" t="s">
        <v>143</v>
      </c>
      <c r="B809" t="s">
        <v>23</v>
      </c>
      <c r="C809" s="50">
        <v>43382</v>
      </c>
      <c r="D809" t="s">
        <v>446</v>
      </c>
      <c r="E809">
        <v>-3647024.4</v>
      </c>
      <c r="F809" t="s">
        <v>380</v>
      </c>
      <c r="G809" t="s">
        <v>447</v>
      </c>
      <c r="H809">
        <v>181009160103</v>
      </c>
      <c r="I809" t="str">
        <f>CashIntraTable[Portfolio]&amp;VALUE(CashIntraTable[Cash Date])&amp;CashIntraTable[Detail]</f>
        <v>SCBTMF433822.2. Switch-out</v>
      </c>
    </row>
    <row r="810" spans="1:9" x14ac:dyDescent="0.2">
      <c r="A810" t="s">
        <v>143</v>
      </c>
      <c r="B810" t="s">
        <v>23</v>
      </c>
      <c r="C810" s="50">
        <v>43383</v>
      </c>
      <c r="D810" t="s">
        <v>446</v>
      </c>
      <c r="E810">
        <v>-813242.48</v>
      </c>
      <c r="F810" t="s">
        <v>380</v>
      </c>
      <c r="G810" t="s">
        <v>447</v>
      </c>
      <c r="H810">
        <v>181009160103</v>
      </c>
      <c r="I810" t="str">
        <f>CashIntraTable[Portfolio]&amp;VALUE(CashIntraTable[Cash Date])&amp;CashIntraTable[Detail]</f>
        <v>SCBTMF433832.2. Switch-out</v>
      </c>
    </row>
    <row r="811" spans="1:9" x14ac:dyDescent="0.2">
      <c r="A811" t="s">
        <v>144</v>
      </c>
      <c r="B811" t="s">
        <v>23</v>
      </c>
      <c r="C811" s="50">
        <v>43382</v>
      </c>
      <c r="D811" t="s">
        <v>446</v>
      </c>
      <c r="E811">
        <v>16418378.189999999</v>
      </c>
      <c r="F811" t="s">
        <v>377</v>
      </c>
      <c r="G811" t="s">
        <v>447</v>
      </c>
      <c r="H811">
        <v>181009160103</v>
      </c>
      <c r="I811" t="str">
        <f>CashIntraTable[Portfolio]&amp;VALUE(CashIntraTable[Cash Date])&amp;CashIntraTable[Detail]</f>
        <v>SCBTMFPLUS433821.1. Subscription</v>
      </c>
    </row>
    <row r="812" spans="1:9" x14ac:dyDescent="0.2">
      <c r="A812" t="s">
        <v>144</v>
      </c>
      <c r="B812" t="s">
        <v>23</v>
      </c>
      <c r="C812" s="50">
        <v>43383</v>
      </c>
      <c r="D812" t="s">
        <v>446</v>
      </c>
      <c r="E812">
        <v>12260267.41</v>
      </c>
      <c r="F812" t="s">
        <v>377</v>
      </c>
      <c r="G812" t="s">
        <v>447</v>
      </c>
      <c r="H812">
        <v>181009160103</v>
      </c>
      <c r="I812" t="str">
        <f>CashIntraTable[Portfolio]&amp;VALUE(CashIntraTable[Cash Date])&amp;CashIntraTable[Detail]</f>
        <v>SCBTMFPLUS433831.1. Subscription</v>
      </c>
    </row>
    <row r="813" spans="1:9" x14ac:dyDescent="0.2">
      <c r="A813" t="s">
        <v>144</v>
      </c>
      <c r="B813" t="s">
        <v>23</v>
      </c>
      <c r="C813" s="50">
        <v>43382</v>
      </c>
      <c r="D813" t="s">
        <v>446</v>
      </c>
      <c r="E813">
        <v>70450000</v>
      </c>
      <c r="F813" t="s">
        <v>381</v>
      </c>
      <c r="G813" t="s">
        <v>447</v>
      </c>
      <c r="H813">
        <v>181009160103</v>
      </c>
      <c r="I813" t="str">
        <f>CashIntraTable[Portfolio]&amp;VALUE(CashIntraTable[Cash Date])&amp;CashIntraTable[Detail]</f>
        <v>SCBTMFPLUS433821.1. Subscription (Chq)</v>
      </c>
    </row>
    <row r="814" spans="1:9" x14ac:dyDescent="0.2">
      <c r="A814" t="s">
        <v>144</v>
      </c>
      <c r="B814" t="s">
        <v>23</v>
      </c>
      <c r="C814" s="50">
        <v>43382</v>
      </c>
      <c r="D814" t="s">
        <v>446</v>
      </c>
      <c r="E814">
        <v>30000</v>
      </c>
      <c r="F814" t="s">
        <v>378</v>
      </c>
      <c r="G814" t="s">
        <v>447</v>
      </c>
      <c r="H814">
        <v>181009160103</v>
      </c>
      <c r="I814" t="str">
        <f>CashIntraTable[Portfolio]&amp;VALUE(CashIntraTable[Cash Date])&amp;CashIntraTable[Detail]</f>
        <v>SCBTMFPLUS433821.2. Switch-in</v>
      </c>
    </row>
    <row r="815" spans="1:9" x14ac:dyDescent="0.2">
      <c r="A815" t="s">
        <v>144</v>
      </c>
      <c r="B815" t="s">
        <v>23</v>
      </c>
      <c r="C815" s="50">
        <v>43383</v>
      </c>
      <c r="D815" t="s">
        <v>446</v>
      </c>
      <c r="E815">
        <v>1931657.21</v>
      </c>
      <c r="F815" t="s">
        <v>378</v>
      </c>
      <c r="G815" t="s">
        <v>447</v>
      </c>
      <c r="H815">
        <v>181009160103</v>
      </c>
      <c r="I815" t="str">
        <f>CashIntraTable[Portfolio]&amp;VALUE(CashIntraTable[Cash Date])&amp;CashIntraTable[Detail]</f>
        <v>SCBTMFPLUS433831.2. Switch-in</v>
      </c>
    </row>
    <row r="816" spans="1:9" x14ac:dyDescent="0.2">
      <c r="A816" t="s">
        <v>144</v>
      </c>
      <c r="B816" t="s">
        <v>23</v>
      </c>
      <c r="C816" s="50">
        <v>43382</v>
      </c>
      <c r="D816" t="s">
        <v>446</v>
      </c>
      <c r="E816">
        <v>-57393639.020000003</v>
      </c>
      <c r="F816" t="s">
        <v>379</v>
      </c>
      <c r="G816" t="s">
        <v>447</v>
      </c>
      <c r="H816">
        <v>181009160103</v>
      </c>
      <c r="I816" t="str">
        <f>CashIntraTable[Portfolio]&amp;VALUE(CashIntraTable[Cash Date])&amp;CashIntraTable[Detail]</f>
        <v>SCBTMFPLUS433822.1. Redemption</v>
      </c>
    </row>
    <row r="817" spans="1:9" x14ac:dyDescent="0.2">
      <c r="A817" t="s">
        <v>144</v>
      </c>
      <c r="B817" t="s">
        <v>23</v>
      </c>
      <c r="C817" s="50">
        <v>43383</v>
      </c>
      <c r="D817" t="s">
        <v>446</v>
      </c>
      <c r="E817">
        <v>-50645120.630000003</v>
      </c>
      <c r="F817" t="s">
        <v>379</v>
      </c>
      <c r="G817" t="s">
        <v>447</v>
      </c>
      <c r="H817">
        <v>181009160103</v>
      </c>
      <c r="I817" t="str">
        <f>CashIntraTable[Portfolio]&amp;VALUE(CashIntraTable[Cash Date])&amp;CashIntraTable[Detail]</f>
        <v>SCBTMFPLUS433832.1. Redemption</v>
      </c>
    </row>
    <row r="818" spans="1:9" x14ac:dyDescent="0.2">
      <c r="A818" t="s">
        <v>144</v>
      </c>
      <c r="B818" t="s">
        <v>23</v>
      </c>
      <c r="C818" s="50">
        <v>43382</v>
      </c>
      <c r="D818" t="s">
        <v>446</v>
      </c>
      <c r="E818">
        <v>-255009.54</v>
      </c>
      <c r="F818" t="s">
        <v>380</v>
      </c>
      <c r="G818" t="s">
        <v>447</v>
      </c>
      <c r="H818">
        <v>181009160103</v>
      </c>
      <c r="I818" t="str">
        <f>CashIntraTable[Portfolio]&amp;VALUE(CashIntraTable[Cash Date])&amp;CashIntraTable[Detail]</f>
        <v>SCBTMFPLUS433822.2. Switch-out</v>
      </c>
    </row>
    <row r="819" spans="1:9" x14ac:dyDescent="0.2">
      <c r="A819" t="s">
        <v>144</v>
      </c>
      <c r="B819" t="s">
        <v>23</v>
      </c>
      <c r="C819" s="50">
        <v>43383</v>
      </c>
      <c r="D819" t="s">
        <v>446</v>
      </c>
      <c r="E819">
        <v>-201000</v>
      </c>
      <c r="F819" t="s">
        <v>380</v>
      </c>
      <c r="G819" t="s">
        <v>447</v>
      </c>
      <c r="H819">
        <v>181009160103</v>
      </c>
      <c r="I819" t="str">
        <f>CashIntraTable[Portfolio]&amp;VALUE(CashIntraTable[Cash Date])&amp;CashIntraTable[Detail]</f>
        <v>SCBTMFPLUS433832.2. Switch-out</v>
      </c>
    </row>
    <row r="820" spans="1:9" x14ac:dyDescent="0.2">
      <c r="A820" t="s">
        <v>534</v>
      </c>
      <c r="B820" t="s">
        <v>23</v>
      </c>
      <c r="C820" s="50">
        <v>43383</v>
      </c>
      <c r="D820" t="s">
        <v>446</v>
      </c>
      <c r="E820">
        <v>1409000</v>
      </c>
      <c r="F820" t="s">
        <v>377</v>
      </c>
      <c r="G820" t="s">
        <v>447</v>
      </c>
      <c r="H820">
        <v>181009160103</v>
      </c>
      <c r="I820" t="str">
        <f>CashIntraTable[Portfolio]&amp;VALUE(CashIntraTable[Cash Date])&amp;CashIntraTable[Detail]</f>
        <v>SCBUSHY433831.1. Subscription</v>
      </c>
    </row>
    <row r="821" spans="1:9" x14ac:dyDescent="0.2">
      <c r="A821" t="s">
        <v>534</v>
      </c>
      <c r="B821" t="s">
        <v>23</v>
      </c>
      <c r="C821" s="50">
        <v>43382</v>
      </c>
      <c r="D821" t="s">
        <v>446</v>
      </c>
      <c r="E821">
        <v>-201634.93</v>
      </c>
      <c r="F821" t="s">
        <v>380</v>
      </c>
      <c r="G821" t="s">
        <v>447</v>
      </c>
      <c r="H821">
        <v>181009160103</v>
      </c>
      <c r="I821" t="str">
        <f>CashIntraTable[Portfolio]&amp;VALUE(CashIntraTable[Cash Date])&amp;CashIntraTable[Detail]</f>
        <v>SCBUSHY433822.2. Switch-out</v>
      </c>
    </row>
    <row r="822" spans="1:9" x14ac:dyDescent="0.2">
      <c r="A822" t="s">
        <v>535</v>
      </c>
      <c r="B822" t="s">
        <v>23</v>
      </c>
      <c r="C822" s="50">
        <v>43383</v>
      </c>
      <c r="D822" t="s">
        <v>446</v>
      </c>
      <c r="E822">
        <v>26000</v>
      </c>
      <c r="F822" t="s">
        <v>377</v>
      </c>
      <c r="G822" t="s">
        <v>447</v>
      </c>
      <c r="H822">
        <v>181009160103</v>
      </c>
      <c r="I822" t="str">
        <f>CashIntraTable[Portfolio]&amp;VALUE(CashIntraTable[Cash Date])&amp;CashIntraTable[Detail]</f>
        <v>SCBUSSM433831.1. Subscription</v>
      </c>
    </row>
    <row r="823" spans="1:9" x14ac:dyDescent="0.2">
      <c r="A823" t="s">
        <v>535</v>
      </c>
      <c r="B823" t="s">
        <v>23</v>
      </c>
      <c r="C823" s="50">
        <v>43383</v>
      </c>
      <c r="D823" t="s">
        <v>446</v>
      </c>
      <c r="E823">
        <v>296108.19</v>
      </c>
      <c r="F823" t="s">
        <v>378</v>
      </c>
      <c r="G823" t="s">
        <v>447</v>
      </c>
      <c r="H823">
        <v>181009160103</v>
      </c>
      <c r="I823" t="str">
        <f>CashIntraTable[Portfolio]&amp;VALUE(CashIntraTable[Cash Date])&amp;CashIntraTable[Detail]</f>
        <v>SCBUSSM433831.2. Switch-in</v>
      </c>
    </row>
    <row r="824" spans="1:9" x14ac:dyDescent="0.2">
      <c r="A824" t="s">
        <v>535</v>
      </c>
      <c r="B824" t="s">
        <v>23</v>
      </c>
      <c r="C824" s="50">
        <v>43385</v>
      </c>
      <c r="D824" t="s">
        <v>446</v>
      </c>
      <c r="E824">
        <v>100000</v>
      </c>
      <c r="F824" t="s">
        <v>378</v>
      </c>
      <c r="G824" t="s">
        <v>447</v>
      </c>
      <c r="H824">
        <v>181009160103</v>
      </c>
      <c r="I824" t="str">
        <f>CashIntraTable[Portfolio]&amp;VALUE(CashIntraTable[Cash Date])&amp;CashIntraTable[Detail]</f>
        <v>SCBUSSM433851.2. Switch-in</v>
      </c>
    </row>
    <row r="825" spans="1:9" x14ac:dyDescent="0.2">
      <c r="A825" t="s">
        <v>535</v>
      </c>
      <c r="B825" t="s">
        <v>23</v>
      </c>
      <c r="C825" s="50">
        <v>43382</v>
      </c>
      <c r="D825" t="s">
        <v>446</v>
      </c>
      <c r="E825">
        <v>-32172.58</v>
      </c>
      <c r="F825" t="s">
        <v>379</v>
      </c>
      <c r="G825" t="s">
        <v>447</v>
      </c>
      <c r="H825">
        <v>181009160103</v>
      </c>
      <c r="I825" t="str">
        <f>CashIntraTable[Portfolio]&amp;VALUE(CashIntraTable[Cash Date])&amp;CashIntraTable[Detail]</f>
        <v>SCBUSSM433822.1. Redemption</v>
      </c>
    </row>
    <row r="826" spans="1:9" x14ac:dyDescent="0.2">
      <c r="A826" t="s">
        <v>535</v>
      </c>
      <c r="B826" t="s">
        <v>23</v>
      </c>
      <c r="C826" s="50">
        <v>43383</v>
      </c>
      <c r="D826" t="s">
        <v>446</v>
      </c>
      <c r="E826">
        <v>-7250319.2199999997</v>
      </c>
      <c r="F826" t="s">
        <v>379</v>
      </c>
      <c r="G826" t="s">
        <v>447</v>
      </c>
      <c r="H826">
        <v>181009160103</v>
      </c>
      <c r="I826" t="str">
        <f>CashIntraTable[Portfolio]&amp;VALUE(CashIntraTable[Cash Date])&amp;CashIntraTable[Detail]</f>
        <v>SCBUSSM433832.1. Redemption</v>
      </c>
    </row>
    <row r="827" spans="1:9" x14ac:dyDescent="0.2">
      <c r="A827" t="s">
        <v>535</v>
      </c>
      <c r="B827" t="s">
        <v>23</v>
      </c>
      <c r="C827" s="50">
        <v>43389</v>
      </c>
      <c r="D827" t="s">
        <v>446</v>
      </c>
      <c r="E827">
        <v>-6538.04</v>
      </c>
      <c r="F827" t="s">
        <v>379</v>
      </c>
      <c r="G827" t="s">
        <v>447</v>
      </c>
      <c r="H827">
        <v>181009160103</v>
      </c>
      <c r="I827" t="str">
        <f>CashIntraTable[Portfolio]&amp;VALUE(CashIntraTable[Cash Date])&amp;CashIntraTable[Detail]</f>
        <v>SCBUSSM433892.1. Redemption</v>
      </c>
    </row>
    <row r="828" spans="1:9" x14ac:dyDescent="0.2">
      <c r="A828" t="s">
        <v>535</v>
      </c>
      <c r="B828" t="s">
        <v>23</v>
      </c>
      <c r="C828" s="50">
        <v>43382</v>
      </c>
      <c r="D828" t="s">
        <v>446</v>
      </c>
      <c r="E828">
        <v>-28190.959999999999</v>
      </c>
      <c r="F828" t="s">
        <v>380</v>
      </c>
      <c r="G828" t="s">
        <v>447</v>
      </c>
      <c r="H828">
        <v>181009160103</v>
      </c>
      <c r="I828" t="str">
        <f>CashIntraTable[Portfolio]&amp;VALUE(CashIntraTable[Cash Date])&amp;CashIntraTable[Detail]</f>
        <v>SCBUSSM433822.2. Switch-out</v>
      </c>
    </row>
    <row r="829" spans="1:9" x14ac:dyDescent="0.2">
      <c r="A829" t="s">
        <v>535</v>
      </c>
      <c r="B829" t="s">
        <v>23</v>
      </c>
      <c r="C829" s="50">
        <v>43383</v>
      </c>
      <c r="D829" t="s">
        <v>446</v>
      </c>
      <c r="E829">
        <v>-288780.51</v>
      </c>
      <c r="F829" t="s">
        <v>380</v>
      </c>
      <c r="G829" t="s">
        <v>447</v>
      </c>
      <c r="H829">
        <v>181009160103</v>
      </c>
      <c r="I829" t="str">
        <f>CashIntraTable[Portfolio]&amp;VALUE(CashIntraTable[Cash Date])&amp;CashIntraTable[Detail]</f>
        <v>SCBUSSM433832.2. Switch-out</v>
      </c>
    </row>
    <row r="830" spans="1:9" x14ac:dyDescent="0.2">
      <c r="A830" t="s">
        <v>535</v>
      </c>
      <c r="B830" t="s">
        <v>23</v>
      </c>
      <c r="C830" s="50">
        <v>43385</v>
      </c>
      <c r="D830" t="s">
        <v>446</v>
      </c>
      <c r="E830">
        <v>-470950.83</v>
      </c>
      <c r="F830" t="s">
        <v>380</v>
      </c>
      <c r="G830" t="s">
        <v>447</v>
      </c>
      <c r="H830">
        <v>181009160103</v>
      </c>
      <c r="I830" t="str">
        <f>CashIntraTable[Portfolio]&amp;VALUE(CashIntraTable[Cash Date])&amp;CashIntraTable[Detail]</f>
        <v>SCBUSSM433852.2. Switch-out</v>
      </c>
    </row>
    <row r="831" spans="1:9" x14ac:dyDescent="0.2">
      <c r="A831" t="s">
        <v>535</v>
      </c>
      <c r="B831" t="s">
        <v>23</v>
      </c>
      <c r="C831" s="50">
        <v>43389</v>
      </c>
      <c r="D831" t="s">
        <v>446</v>
      </c>
      <c r="E831">
        <v>-44062.32</v>
      </c>
      <c r="F831" t="s">
        <v>380</v>
      </c>
      <c r="G831" t="s">
        <v>447</v>
      </c>
      <c r="H831">
        <v>181009160103</v>
      </c>
      <c r="I831" t="str">
        <f>CashIntraTable[Portfolio]&amp;VALUE(CashIntraTable[Cash Date])&amp;CashIntraTable[Detail]</f>
        <v>SCBUSSM433892.2. Switch-out</v>
      </c>
    </row>
    <row r="832" spans="1:9" x14ac:dyDescent="0.2">
      <c r="A832" t="s">
        <v>536</v>
      </c>
      <c r="B832" t="s">
        <v>23</v>
      </c>
      <c r="C832" s="50">
        <v>43383</v>
      </c>
      <c r="D832" t="s">
        <v>446</v>
      </c>
      <c r="E832">
        <v>11000</v>
      </c>
      <c r="F832" t="s">
        <v>377</v>
      </c>
      <c r="G832" t="s">
        <v>447</v>
      </c>
      <c r="H832">
        <v>181009160103</v>
      </c>
      <c r="I832" t="str">
        <f>CashIntraTable[Portfolio]&amp;VALUE(CashIntraTable[Cash Date])&amp;CashIntraTable[Detail]</f>
        <v>SCBWIN433831.1. Subscription</v>
      </c>
    </row>
    <row r="833" spans="1:9" x14ac:dyDescent="0.2">
      <c r="A833" t="s">
        <v>536</v>
      </c>
      <c r="B833" t="s">
        <v>23</v>
      </c>
      <c r="C833" s="50">
        <v>43384</v>
      </c>
      <c r="D833" t="s">
        <v>446</v>
      </c>
      <c r="E833">
        <v>10000000</v>
      </c>
      <c r="F833" t="s">
        <v>378</v>
      </c>
      <c r="G833" t="s">
        <v>447</v>
      </c>
      <c r="H833">
        <v>181009160103</v>
      </c>
      <c r="I833" t="str">
        <f>CashIntraTable[Portfolio]&amp;VALUE(CashIntraTable[Cash Date])&amp;CashIntraTable[Detail]</f>
        <v>SCBWIN433841.2. Switch-in</v>
      </c>
    </row>
    <row r="834" spans="1:9" x14ac:dyDescent="0.2">
      <c r="A834" t="s">
        <v>536</v>
      </c>
      <c r="B834" t="s">
        <v>23</v>
      </c>
      <c r="C834" s="50">
        <v>43382</v>
      </c>
      <c r="D834" t="s">
        <v>446</v>
      </c>
      <c r="E834">
        <v>-584626.85</v>
      </c>
      <c r="F834" t="s">
        <v>379</v>
      </c>
      <c r="G834" t="s">
        <v>447</v>
      </c>
      <c r="H834">
        <v>181009160103</v>
      </c>
      <c r="I834" t="str">
        <f>CashIntraTable[Portfolio]&amp;VALUE(CashIntraTable[Cash Date])&amp;CashIntraTable[Detail]</f>
        <v>SCBWIN433822.1. Redemption</v>
      </c>
    </row>
    <row r="835" spans="1:9" x14ac:dyDescent="0.2">
      <c r="A835" t="s">
        <v>536</v>
      </c>
      <c r="B835" t="s">
        <v>23</v>
      </c>
      <c r="C835" s="50">
        <v>43383</v>
      </c>
      <c r="D835" t="s">
        <v>446</v>
      </c>
      <c r="E835">
        <v>-4222191.42</v>
      </c>
      <c r="F835" t="s">
        <v>379</v>
      </c>
      <c r="G835" t="s">
        <v>447</v>
      </c>
      <c r="H835">
        <v>181009160103</v>
      </c>
      <c r="I835" t="str">
        <f>CashIntraTable[Portfolio]&amp;VALUE(CashIntraTable[Cash Date])&amp;CashIntraTable[Detail]</f>
        <v>SCBWIN433832.1. Redemption</v>
      </c>
    </row>
    <row r="836" spans="1:9" x14ac:dyDescent="0.2">
      <c r="A836" t="s">
        <v>536</v>
      </c>
      <c r="B836" t="s">
        <v>23</v>
      </c>
      <c r="C836" s="50">
        <v>43384</v>
      </c>
      <c r="D836" t="s">
        <v>446</v>
      </c>
      <c r="E836">
        <v>-98714.29</v>
      </c>
      <c r="F836" t="s">
        <v>379</v>
      </c>
      <c r="G836" t="s">
        <v>447</v>
      </c>
      <c r="H836">
        <v>181009160103</v>
      </c>
      <c r="I836" t="str">
        <f>CashIntraTable[Portfolio]&amp;VALUE(CashIntraTable[Cash Date])&amp;CashIntraTable[Detail]</f>
        <v>SCBWIN433842.1. Redemption</v>
      </c>
    </row>
    <row r="837" spans="1:9" x14ac:dyDescent="0.2">
      <c r="A837" t="s">
        <v>536</v>
      </c>
      <c r="B837" t="s">
        <v>23</v>
      </c>
      <c r="C837" s="50">
        <v>43385</v>
      </c>
      <c r="D837" t="s">
        <v>446</v>
      </c>
      <c r="E837">
        <v>-36981517.909999996</v>
      </c>
      <c r="F837" t="s">
        <v>379</v>
      </c>
      <c r="G837" t="s">
        <v>447</v>
      </c>
      <c r="H837">
        <v>181009160103</v>
      </c>
      <c r="I837" t="str">
        <f>CashIntraTable[Portfolio]&amp;VALUE(CashIntraTable[Cash Date])&amp;CashIntraTable[Detail]</f>
        <v>SCBWIN433852.1. Redemption</v>
      </c>
    </row>
    <row r="838" spans="1:9" x14ac:dyDescent="0.2">
      <c r="A838" t="s">
        <v>536</v>
      </c>
      <c r="B838" t="s">
        <v>23</v>
      </c>
      <c r="C838" s="50">
        <v>43382</v>
      </c>
      <c r="D838" t="s">
        <v>446</v>
      </c>
      <c r="E838">
        <v>-4748818.03</v>
      </c>
      <c r="F838" t="s">
        <v>380</v>
      </c>
      <c r="G838" t="s">
        <v>447</v>
      </c>
      <c r="H838">
        <v>181009160103</v>
      </c>
      <c r="I838" t="str">
        <f>CashIntraTable[Portfolio]&amp;VALUE(CashIntraTable[Cash Date])&amp;CashIntraTable[Detail]</f>
        <v>SCBWIN433822.2. Switch-out</v>
      </c>
    </row>
    <row r="839" spans="1:9" x14ac:dyDescent="0.2">
      <c r="A839" t="s">
        <v>536</v>
      </c>
      <c r="B839" t="s">
        <v>23</v>
      </c>
      <c r="C839" s="50">
        <v>43383</v>
      </c>
      <c r="D839" t="s">
        <v>446</v>
      </c>
      <c r="E839">
        <v>-3997683.6</v>
      </c>
      <c r="F839" t="s">
        <v>380</v>
      </c>
      <c r="G839" t="s">
        <v>447</v>
      </c>
      <c r="H839">
        <v>181009160103</v>
      </c>
      <c r="I839" t="str">
        <f>CashIntraTable[Portfolio]&amp;VALUE(CashIntraTable[Cash Date])&amp;CashIntraTable[Detail]</f>
        <v>SCBWIN433832.2. Switch-out</v>
      </c>
    </row>
    <row r="840" spans="1:9" x14ac:dyDescent="0.2">
      <c r="A840" t="s">
        <v>536</v>
      </c>
      <c r="B840" t="s">
        <v>23</v>
      </c>
      <c r="C840" s="50">
        <v>43384</v>
      </c>
      <c r="D840" t="s">
        <v>446</v>
      </c>
      <c r="E840">
        <v>-3770747.34</v>
      </c>
      <c r="F840" t="s">
        <v>380</v>
      </c>
      <c r="G840" t="s">
        <v>447</v>
      </c>
      <c r="H840">
        <v>181009160103</v>
      </c>
      <c r="I840" t="str">
        <f>CashIntraTable[Portfolio]&amp;VALUE(CashIntraTable[Cash Date])&amp;CashIntraTable[Detail]</f>
        <v>SCBWIN433842.2. Switch-out</v>
      </c>
    </row>
    <row r="841" spans="1:9" x14ac:dyDescent="0.2">
      <c r="A841" t="s">
        <v>536</v>
      </c>
      <c r="B841" t="s">
        <v>23</v>
      </c>
      <c r="C841" s="50">
        <v>43385</v>
      </c>
      <c r="D841" t="s">
        <v>446</v>
      </c>
      <c r="E841">
        <v>-8840460.6699999999</v>
      </c>
      <c r="F841" t="s">
        <v>380</v>
      </c>
      <c r="G841" t="s">
        <v>447</v>
      </c>
      <c r="H841">
        <v>181009160103</v>
      </c>
      <c r="I841" t="str">
        <f>CashIntraTable[Portfolio]&amp;VALUE(CashIntraTable[Cash Date])&amp;CashIntraTable[Detail]</f>
        <v>SCBWIN433852.2. Switch-out</v>
      </c>
    </row>
  </sheetData>
  <conditionalFormatting sqref="L3:P12">
    <cfRule type="cellIs" dxfId="8" priority="6" operator="greaterThan">
      <formula>"&lt;0"</formula>
    </cfRule>
  </conditionalFormatting>
  <conditionalFormatting sqref="L14:P23">
    <cfRule type="cellIs" dxfId="7" priority="1" operator="greaterThan">
      <formula>"&lt;0"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8CC4-2D17-4A5A-A049-413B3AF8984E}">
  <sheetPr codeName="Sheet1"/>
  <dimension ref="A1:DI187"/>
  <sheetViews>
    <sheetView workbookViewId="0">
      <selection activeCell="C19" sqref="C19"/>
    </sheetView>
  </sheetViews>
  <sheetFormatPr defaultRowHeight="14.25" x14ac:dyDescent="0.2"/>
  <cols>
    <col min="1" max="1" width="9.375" bestFit="1" customWidth="1"/>
    <col min="2" max="2" width="27.375" bestFit="1" customWidth="1"/>
    <col min="3" max="3" width="20.75" bestFit="1" customWidth="1"/>
    <col min="4" max="4" width="10.375" bestFit="1" customWidth="1"/>
    <col min="5" max="5" width="27.125" bestFit="1" customWidth="1"/>
    <col min="6" max="6" width="12.5" bestFit="1" customWidth="1"/>
    <col min="7" max="8" width="12.75" bestFit="1" customWidth="1"/>
    <col min="9" max="9" width="12.375" bestFit="1" customWidth="1"/>
    <col min="10" max="10" width="10.375" bestFit="1" customWidth="1"/>
    <col min="11" max="11" width="10.5" bestFit="1" customWidth="1"/>
    <col min="12" max="12" width="10.625" bestFit="1" customWidth="1"/>
    <col min="13" max="13" width="15.375" bestFit="1" customWidth="1"/>
    <col min="14" max="14" width="10.375" bestFit="1" customWidth="1"/>
    <col min="15" max="15" width="9.125" bestFit="1" customWidth="1"/>
    <col min="16" max="16" width="13.25" bestFit="1" customWidth="1"/>
    <col min="17" max="17" width="11.375" bestFit="1" customWidth="1"/>
    <col min="18" max="18" width="11.5" bestFit="1" customWidth="1"/>
    <col min="19" max="19" width="15.625" bestFit="1" customWidth="1"/>
    <col min="20" max="20" width="8.875" bestFit="1" customWidth="1"/>
    <col min="21" max="21" width="11.625" bestFit="1" customWidth="1"/>
    <col min="22" max="22" width="11.125" bestFit="1" customWidth="1"/>
    <col min="23" max="23" width="9.5" bestFit="1" customWidth="1"/>
    <col min="24" max="24" width="10.875" bestFit="1" customWidth="1"/>
    <col min="25" max="25" width="11.875" bestFit="1" customWidth="1"/>
    <col min="26" max="26" width="10.875" bestFit="1" customWidth="1"/>
    <col min="27" max="27" width="8.375" bestFit="1" customWidth="1"/>
    <col min="28" max="28" width="13.875" bestFit="1" customWidth="1"/>
    <col min="29" max="29" width="18.5" bestFit="1" customWidth="1"/>
    <col min="30" max="30" width="18" bestFit="1" customWidth="1"/>
    <col min="31" max="31" width="10.875" bestFit="1" customWidth="1"/>
    <col min="32" max="32" width="8.25" bestFit="1" customWidth="1"/>
    <col min="33" max="33" width="19.625" bestFit="1" customWidth="1"/>
    <col min="34" max="34" width="19.75" bestFit="1" customWidth="1"/>
    <col min="35" max="35" width="18.125" bestFit="1" customWidth="1"/>
    <col min="36" max="36" width="18.25" bestFit="1" customWidth="1"/>
    <col min="37" max="37" width="20.5" bestFit="1" customWidth="1"/>
    <col min="38" max="38" width="20.625" bestFit="1" customWidth="1"/>
    <col min="39" max="39" width="18.75" bestFit="1" customWidth="1"/>
    <col min="40" max="40" width="20.375" bestFit="1" customWidth="1"/>
    <col min="41" max="41" width="18" bestFit="1" customWidth="1"/>
    <col min="42" max="42" width="19.625" bestFit="1" customWidth="1"/>
    <col min="43" max="43" width="12.25" bestFit="1" customWidth="1"/>
    <col min="44" max="44" width="16.5" bestFit="1" customWidth="1"/>
    <col min="45" max="45" width="20.125" bestFit="1" customWidth="1"/>
    <col min="46" max="46" width="21.875" bestFit="1" customWidth="1"/>
    <col min="47" max="47" width="19.375" bestFit="1" customWidth="1"/>
    <col min="48" max="48" width="21" bestFit="1" customWidth="1"/>
    <col min="49" max="49" width="12.75" bestFit="1" customWidth="1"/>
    <col min="50" max="50" width="13" bestFit="1" customWidth="1"/>
    <col min="51" max="51" width="12.375" bestFit="1" customWidth="1"/>
    <col min="52" max="52" width="12.25" bestFit="1" customWidth="1"/>
    <col min="53" max="53" width="17.875" bestFit="1" customWidth="1"/>
    <col min="54" max="54" width="13.75" bestFit="1" customWidth="1"/>
    <col min="55" max="55" width="10.125" bestFit="1" customWidth="1"/>
    <col min="56" max="56" width="24.875" bestFit="1" customWidth="1"/>
    <col min="57" max="57" width="22" bestFit="1" customWidth="1"/>
    <col min="58" max="58" width="24.5" bestFit="1" customWidth="1"/>
    <col min="59" max="59" width="19.875" bestFit="1" customWidth="1"/>
    <col min="60" max="60" width="25.125" bestFit="1" customWidth="1"/>
    <col min="61" max="62" width="16.625" bestFit="1" customWidth="1"/>
    <col min="63" max="64" width="13.25" bestFit="1" customWidth="1"/>
    <col min="65" max="66" width="43.5" bestFit="1" customWidth="1"/>
    <col min="67" max="67" width="14.75" bestFit="1" customWidth="1"/>
    <col min="68" max="68" width="19.5" bestFit="1" customWidth="1"/>
    <col min="69" max="69" width="20.625" bestFit="1" customWidth="1"/>
    <col min="70" max="70" width="21.5" bestFit="1" customWidth="1"/>
    <col min="71" max="71" width="18.5" bestFit="1" customWidth="1"/>
    <col min="72" max="72" width="21" bestFit="1" customWidth="1"/>
    <col min="73" max="73" width="16.375" bestFit="1" customWidth="1"/>
    <col min="74" max="75" width="21.75" bestFit="1" customWidth="1"/>
    <col min="76" max="77" width="17.125" bestFit="1" customWidth="1"/>
    <col min="78" max="78" width="22.25" bestFit="1" customWidth="1"/>
    <col min="79" max="79" width="21" bestFit="1" customWidth="1"/>
    <col min="80" max="80" width="18.75" bestFit="1" customWidth="1"/>
    <col min="81" max="81" width="23.5" bestFit="1" customWidth="1"/>
    <col min="82" max="82" width="24.625" bestFit="1" customWidth="1"/>
    <col min="83" max="83" width="25.375" bestFit="1" customWidth="1"/>
    <col min="84" max="84" width="22.5" bestFit="1" customWidth="1"/>
    <col min="85" max="85" width="25" bestFit="1" customWidth="1"/>
    <col min="86" max="86" width="20.375" bestFit="1" customWidth="1"/>
    <col min="87" max="88" width="25.75" bestFit="1" customWidth="1"/>
    <col min="89" max="89" width="27.375" bestFit="1" customWidth="1"/>
    <col min="90" max="90" width="20.75" bestFit="1" customWidth="1"/>
    <col min="91" max="91" width="15" bestFit="1" customWidth="1"/>
    <col min="92" max="92" width="16.875" bestFit="1" customWidth="1"/>
    <col min="93" max="93" width="15.875" bestFit="1" customWidth="1"/>
    <col min="94" max="94" width="12.75" bestFit="1" customWidth="1"/>
    <col min="95" max="95" width="19.5" bestFit="1" customWidth="1"/>
    <col min="96" max="96" width="24.5" bestFit="1" customWidth="1"/>
    <col min="97" max="97" width="21.75" bestFit="1" customWidth="1"/>
    <col min="98" max="98" width="16.875" bestFit="1" customWidth="1"/>
    <col min="99" max="99" width="13.375" bestFit="1" customWidth="1"/>
    <col min="100" max="100" width="18.25" bestFit="1" customWidth="1"/>
    <col min="101" max="101" width="19.5" bestFit="1" customWidth="1"/>
    <col min="102" max="102" width="24.5" bestFit="1" customWidth="1"/>
    <col min="103" max="103" width="7.875" bestFit="1" customWidth="1"/>
    <col min="104" max="104" width="7.75" bestFit="1" customWidth="1"/>
    <col min="105" max="105" width="14.5" bestFit="1" customWidth="1"/>
    <col min="106" max="106" width="9.75" bestFit="1" customWidth="1"/>
    <col min="107" max="107" width="14" bestFit="1" customWidth="1"/>
    <col min="108" max="108" width="9.25" bestFit="1" customWidth="1"/>
    <col min="109" max="109" width="11.75" bestFit="1" customWidth="1"/>
    <col min="110" max="110" width="16.75" bestFit="1" customWidth="1"/>
    <col min="111" max="111" width="20.375" bestFit="1" customWidth="1"/>
    <col min="112" max="112" width="18.5" bestFit="1" customWidth="1"/>
    <col min="113" max="113" width="18.25" bestFit="1" customWidth="1"/>
  </cols>
  <sheetData>
    <row r="1" spans="1:113" x14ac:dyDescent="0.2">
      <c r="A1" s="1" t="s">
        <v>321</v>
      </c>
      <c r="B1" s="1" t="s">
        <v>322</v>
      </c>
      <c r="C1" s="1" t="s">
        <v>323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330</v>
      </c>
      <c r="K1" s="1" t="s">
        <v>331</v>
      </c>
      <c r="L1" s="1" t="s">
        <v>332</v>
      </c>
      <c r="M1" s="1" t="s">
        <v>333</v>
      </c>
      <c r="N1" s="1" t="s">
        <v>334</v>
      </c>
      <c r="O1" s="1" t="s">
        <v>335</v>
      </c>
      <c r="P1" s="1" t="s">
        <v>336</v>
      </c>
      <c r="Q1" s="1" t="s">
        <v>337</v>
      </c>
      <c r="R1" s="1" t="s">
        <v>338</v>
      </c>
      <c r="S1" s="1" t="s">
        <v>339</v>
      </c>
      <c r="T1" s="1" t="s">
        <v>340</v>
      </c>
      <c r="U1" s="1" t="s">
        <v>341</v>
      </c>
      <c r="V1" s="1" t="s">
        <v>342</v>
      </c>
      <c r="W1" s="1" t="s">
        <v>343</v>
      </c>
      <c r="X1" s="1" t="s">
        <v>344</v>
      </c>
      <c r="Y1" s="1" t="s">
        <v>345</v>
      </c>
      <c r="Z1" s="1" t="s">
        <v>346</v>
      </c>
      <c r="AA1" s="1" t="s">
        <v>347</v>
      </c>
      <c r="AB1" s="1" t="s">
        <v>348</v>
      </c>
      <c r="AC1" s="1" t="s">
        <v>349</v>
      </c>
      <c r="AD1" s="1" t="s">
        <v>350</v>
      </c>
      <c r="AE1" s="1" t="s">
        <v>351</v>
      </c>
      <c r="AF1" s="1" t="s">
        <v>352</v>
      </c>
      <c r="AG1" s="1" t="s">
        <v>353</v>
      </c>
      <c r="AH1" s="1" t="s">
        <v>354</v>
      </c>
      <c r="AI1" s="1" t="s">
        <v>355</v>
      </c>
      <c r="AJ1" s="1" t="s">
        <v>356</v>
      </c>
      <c r="AK1" s="1" t="s">
        <v>357</v>
      </c>
      <c r="AL1" s="1" t="s">
        <v>358</v>
      </c>
      <c r="AM1" s="1" t="s">
        <v>359</v>
      </c>
      <c r="AN1" s="1" t="s">
        <v>360</v>
      </c>
      <c r="AO1" s="1" t="s">
        <v>361</v>
      </c>
      <c r="AP1" s="1" t="s">
        <v>362</v>
      </c>
      <c r="AQ1" s="1" t="s">
        <v>363</v>
      </c>
      <c r="AR1" s="1" t="s">
        <v>364</v>
      </c>
      <c r="AS1" s="1" t="s">
        <v>365</v>
      </c>
      <c r="AT1" s="1" t="s">
        <v>366</v>
      </c>
      <c r="AU1" s="1" t="s">
        <v>367</v>
      </c>
      <c r="AV1" s="1" t="s">
        <v>368</v>
      </c>
      <c r="AW1" s="1" t="s">
        <v>369</v>
      </c>
      <c r="AX1" s="1" t="s">
        <v>370</v>
      </c>
      <c r="AY1" s="1" t="s">
        <v>371</v>
      </c>
      <c r="AZ1" s="1" t="s">
        <v>372</v>
      </c>
      <c r="BA1" s="1" t="s">
        <v>373</v>
      </c>
      <c r="BB1" s="1" t="s">
        <v>374</v>
      </c>
      <c r="BC1" s="1" t="s">
        <v>375</v>
      </c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</row>
    <row r="2" spans="1:113" x14ac:dyDescent="0.2">
      <c r="A2" s="2" t="s">
        <v>382</v>
      </c>
      <c r="B2" t="s">
        <v>883</v>
      </c>
      <c r="C2" t="s">
        <v>884</v>
      </c>
      <c r="D2" t="s">
        <v>149</v>
      </c>
      <c r="E2" t="s">
        <v>376</v>
      </c>
      <c r="F2" t="s">
        <v>897</v>
      </c>
      <c r="G2" t="s">
        <v>898</v>
      </c>
      <c r="H2" t="s">
        <v>899</v>
      </c>
      <c r="J2" s="2">
        <v>43378</v>
      </c>
      <c r="K2">
        <v>0</v>
      </c>
      <c r="L2">
        <v>0</v>
      </c>
      <c r="M2">
        <v>0</v>
      </c>
      <c r="N2" s="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451850</v>
      </c>
      <c r="V2">
        <v>0</v>
      </c>
      <c r="W2">
        <v>0</v>
      </c>
      <c r="X2">
        <v>0</v>
      </c>
      <c r="Y2">
        <v>0</v>
      </c>
      <c r="Z2">
        <v>0</v>
      </c>
      <c r="AB2" t="s">
        <v>900</v>
      </c>
      <c r="AC2" t="s">
        <v>901</v>
      </c>
      <c r="AD2" t="s">
        <v>902</v>
      </c>
      <c r="AE2">
        <v>1</v>
      </c>
      <c r="AF2" t="s">
        <v>47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-451850</v>
      </c>
      <c r="AR2">
        <v>-451850</v>
      </c>
      <c r="AS2">
        <v>0</v>
      </c>
      <c r="AT2">
        <v>0</v>
      </c>
      <c r="AU2">
        <v>0</v>
      </c>
      <c r="AV2">
        <v>0</v>
      </c>
      <c r="AW2" t="s">
        <v>390</v>
      </c>
      <c r="AY2" t="s">
        <v>443</v>
      </c>
      <c r="AZ2" t="s">
        <v>903</v>
      </c>
      <c r="BA2">
        <v>-451850</v>
      </c>
      <c r="BB2">
        <v>0</v>
      </c>
      <c r="BC2" t="s">
        <v>24</v>
      </c>
      <c r="CN2" s="2"/>
    </row>
    <row r="3" spans="1:113" x14ac:dyDescent="0.2">
      <c r="A3" s="2" t="s">
        <v>382</v>
      </c>
      <c r="B3" t="s">
        <v>883</v>
      </c>
      <c r="C3" t="s">
        <v>884</v>
      </c>
      <c r="D3" t="s">
        <v>149</v>
      </c>
      <c r="E3" t="s">
        <v>376</v>
      </c>
      <c r="F3" t="s">
        <v>897</v>
      </c>
      <c r="G3" t="s">
        <v>898</v>
      </c>
      <c r="H3" t="s">
        <v>899</v>
      </c>
      <c r="J3" s="2">
        <v>43381</v>
      </c>
      <c r="K3">
        <v>0</v>
      </c>
      <c r="L3">
        <v>0</v>
      </c>
      <c r="M3">
        <v>0</v>
      </c>
      <c r="N3" s="2">
        <v>0</v>
      </c>
      <c r="O3">
        <v>9994763</v>
      </c>
      <c r="P3">
        <v>615.74</v>
      </c>
      <c r="Q3">
        <v>0</v>
      </c>
      <c r="R3">
        <v>0</v>
      </c>
      <c r="S3">
        <v>0</v>
      </c>
      <c r="T3">
        <v>0</v>
      </c>
      <c r="U3">
        <v>20837</v>
      </c>
      <c r="V3">
        <v>5014000</v>
      </c>
      <c r="W3">
        <v>0</v>
      </c>
      <c r="X3">
        <v>6001000.0099999998</v>
      </c>
      <c r="Y3">
        <v>2282205.56</v>
      </c>
      <c r="Z3">
        <v>2878450609.5500002</v>
      </c>
      <c r="AB3" t="s">
        <v>900</v>
      </c>
      <c r="AC3" t="s">
        <v>901</v>
      </c>
      <c r="AD3" t="s">
        <v>902</v>
      </c>
      <c r="AE3">
        <v>2</v>
      </c>
      <c r="AF3" t="s">
        <v>47</v>
      </c>
      <c r="AG3">
        <v>0</v>
      </c>
      <c r="AH3">
        <v>0</v>
      </c>
      <c r="AI3">
        <v>0</v>
      </c>
      <c r="AJ3">
        <v>9994763</v>
      </c>
      <c r="AK3">
        <v>0</v>
      </c>
      <c r="AL3">
        <v>0</v>
      </c>
      <c r="AM3">
        <v>0</v>
      </c>
      <c r="AN3">
        <v>0</v>
      </c>
      <c r="AO3">
        <v>451850</v>
      </c>
      <c r="AP3">
        <v>0</v>
      </c>
      <c r="AQ3">
        <v>2261368.56</v>
      </c>
      <c r="AR3">
        <v>1808902.82</v>
      </c>
      <c r="AS3">
        <v>0</v>
      </c>
      <c r="AT3">
        <v>0</v>
      </c>
      <c r="AU3">
        <v>0</v>
      </c>
      <c r="AV3">
        <v>0</v>
      </c>
      <c r="AW3" t="s">
        <v>390</v>
      </c>
      <c r="AY3" t="s">
        <v>443</v>
      </c>
      <c r="AZ3" t="s">
        <v>904</v>
      </c>
      <c r="BA3">
        <v>1808902.82</v>
      </c>
      <c r="BB3">
        <v>0</v>
      </c>
      <c r="BC3" t="s">
        <v>24</v>
      </c>
      <c r="CN3" s="2"/>
    </row>
    <row r="4" spans="1:113" x14ac:dyDescent="0.2">
      <c r="A4" s="2" t="s">
        <v>382</v>
      </c>
      <c r="B4" t="s">
        <v>883</v>
      </c>
      <c r="C4" t="s">
        <v>884</v>
      </c>
      <c r="D4" t="s">
        <v>149</v>
      </c>
      <c r="E4" t="s">
        <v>376</v>
      </c>
      <c r="F4" t="s">
        <v>897</v>
      </c>
      <c r="G4" t="s">
        <v>898</v>
      </c>
      <c r="H4" t="s">
        <v>899</v>
      </c>
      <c r="J4" s="2">
        <v>43382</v>
      </c>
      <c r="K4">
        <v>0</v>
      </c>
      <c r="L4">
        <v>0</v>
      </c>
      <c r="M4">
        <v>0</v>
      </c>
      <c r="N4" s="2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2282205.56</v>
      </c>
      <c r="Z4">
        <v>2878450609.5500002</v>
      </c>
      <c r="AB4" t="s">
        <v>900</v>
      </c>
      <c r="AC4" t="s">
        <v>901</v>
      </c>
      <c r="AD4" t="s">
        <v>902</v>
      </c>
      <c r="AE4">
        <v>3</v>
      </c>
      <c r="AF4" t="s">
        <v>47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451850</v>
      </c>
      <c r="AN4">
        <v>0</v>
      </c>
      <c r="AO4">
        <v>20837</v>
      </c>
      <c r="AP4">
        <v>0</v>
      </c>
      <c r="AQ4">
        <v>2282205.56</v>
      </c>
      <c r="AR4">
        <v>2261368.56</v>
      </c>
      <c r="AS4">
        <v>0</v>
      </c>
      <c r="AT4">
        <v>0</v>
      </c>
      <c r="AU4">
        <v>0</v>
      </c>
      <c r="AV4">
        <v>0</v>
      </c>
      <c r="AW4" t="s">
        <v>390</v>
      </c>
      <c r="AY4" t="s">
        <v>443</v>
      </c>
      <c r="AZ4" t="s">
        <v>904</v>
      </c>
      <c r="BA4">
        <v>1808902.82</v>
      </c>
      <c r="BB4">
        <v>0</v>
      </c>
      <c r="BC4" t="s">
        <v>24</v>
      </c>
      <c r="CN4" s="2"/>
    </row>
    <row r="5" spans="1:113" x14ac:dyDescent="0.2">
      <c r="A5" s="2" t="s">
        <v>382</v>
      </c>
      <c r="B5" t="s">
        <v>883</v>
      </c>
      <c r="C5" t="s">
        <v>884</v>
      </c>
      <c r="D5" t="s">
        <v>149</v>
      </c>
      <c r="E5" t="s">
        <v>376</v>
      </c>
      <c r="F5" t="s">
        <v>897</v>
      </c>
      <c r="G5" t="s">
        <v>898</v>
      </c>
      <c r="H5" t="s">
        <v>899</v>
      </c>
      <c r="J5" s="2">
        <v>43383</v>
      </c>
      <c r="K5">
        <v>0</v>
      </c>
      <c r="L5">
        <v>0</v>
      </c>
      <c r="M5">
        <v>0</v>
      </c>
      <c r="N5" s="2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2282205.56</v>
      </c>
      <c r="Z5">
        <v>2878450609.5500002</v>
      </c>
      <c r="AB5" t="s">
        <v>900</v>
      </c>
      <c r="AC5" t="s">
        <v>901</v>
      </c>
      <c r="AD5" t="s">
        <v>902</v>
      </c>
      <c r="AE5">
        <v>4</v>
      </c>
      <c r="AF5" t="s">
        <v>47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20837</v>
      </c>
      <c r="AN5">
        <v>0</v>
      </c>
      <c r="AO5">
        <v>0</v>
      </c>
      <c r="AP5">
        <v>0</v>
      </c>
      <c r="AQ5">
        <v>2282205.56</v>
      </c>
      <c r="AR5">
        <v>2282205.56</v>
      </c>
      <c r="AS5">
        <v>0</v>
      </c>
      <c r="AT5">
        <v>0</v>
      </c>
      <c r="AU5">
        <v>0</v>
      </c>
      <c r="AV5">
        <v>0</v>
      </c>
      <c r="AW5" t="s">
        <v>390</v>
      </c>
      <c r="AY5" t="s">
        <v>443</v>
      </c>
      <c r="AZ5" t="s">
        <v>904</v>
      </c>
      <c r="BA5">
        <v>2261368.56</v>
      </c>
      <c r="BB5">
        <v>0</v>
      </c>
      <c r="BC5" t="s">
        <v>24</v>
      </c>
      <c r="CN5" s="2"/>
    </row>
    <row r="6" spans="1:113" x14ac:dyDescent="0.2">
      <c r="A6" s="2" t="s">
        <v>382</v>
      </c>
      <c r="B6" t="s">
        <v>883</v>
      </c>
      <c r="C6" t="s">
        <v>884</v>
      </c>
      <c r="D6" t="s">
        <v>149</v>
      </c>
      <c r="E6" t="s">
        <v>376</v>
      </c>
      <c r="F6" t="s">
        <v>897</v>
      </c>
      <c r="G6" t="s">
        <v>898</v>
      </c>
      <c r="H6" t="s">
        <v>899</v>
      </c>
      <c r="J6" s="2">
        <v>43384</v>
      </c>
      <c r="K6">
        <v>0</v>
      </c>
      <c r="L6">
        <v>0</v>
      </c>
      <c r="M6">
        <v>0</v>
      </c>
      <c r="N6" s="2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2282205.56</v>
      </c>
      <c r="Z6">
        <v>2878450609.5500002</v>
      </c>
      <c r="AB6" t="s">
        <v>900</v>
      </c>
      <c r="AC6" t="s">
        <v>901</v>
      </c>
      <c r="AD6" t="s">
        <v>902</v>
      </c>
      <c r="AE6">
        <v>5</v>
      </c>
      <c r="AF6" t="s">
        <v>47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2282205.56</v>
      </c>
      <c r="AR6">
        <v>2282205.56</v>
      </c>
      <c r="AS6">
        <v>0</v>
      </c>
      <c r="AT6">
        <v>0</v>
      </c>
      <c r="AU6">
        <v>0</v>
      </c>
      <c r="AV6">
        <v>0</v>
      </c>
      <c r="AW6" t="s">
        <v>390</v>
      </c>
      <c r="AY6" t="s">
        <v>443</v>
      </c>
      <c r="AZ6" t="s">
        <v>904</v>
      </c>
      <c r="BA6">
        <v>2282205.56</v>
      </c>
      <c r="BB6">
        <v>0</v>
      </c>
      <c r="BC6" t="s">
        <v>24</v>
      </c>
      <c r="CN6" s="2"/>
    </row>
    <row r="7" spans="1:113" x14ac:dyDescent="0.2">
      <c r="A7" s="2" t="s">
        <v>382</v>
      </c>
      <c r="B7" t="s">
        <v>883</v>
      </c>
      <c r="C7" t="s">
        <v>884</v>
      </c>
      <c r="D7" t="s">
        <v>149</v>
      </c>
      <c r="E7" t="s">
        <v>376</v>
      </c>
      <c r="F7" t="s">
        <v>897</v>
      </c>
      <c r="G7" t="s">
        <v>898</v>
      </c>
      <c r="H7" t="s">
        <v>899</v>
      </c>
      <c r="J7" s="2">
        <v>43385</v>
      </c>
      <c r="K7">
        <v>0</v>
      </c>
      <c r="L7">
        <v>0</v>
      </c>
      <c r="M7">
        <v>0</v>
      </c>
      <c r="N7" s="2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2282205.56</v>
      </c>
      <c r="Z7">
        <v>2878450609.5500002</v>
      </c>
      <c r="AB7" t="s">
        <v>900</v>
      </c>
      <c r="AC7" t="s">
        <v>901</v>
      </c>
      <c r="AD7" t="s">
        <v>902</v>
      </c>
      <c r="AE7">
        <v>6</v>
      </c>
      <c r="AF7" t="s">
        <v>47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2282205.56</v>
      </c>
      <c r="AR7">
        <v>2282205.56</v>
      </c>
      <c r="AS7">
        <v>0</v>
      </c>
      <c r="AT7">
        <v>0</v>
      </c>
      <c r="AU7">
        <v>0</v>
      </c>
      <c r="AV7">
        <v>0</v>
      </c>
      <c r="AW7" t="s">
        <v>390</v>
      </c>
      <c r="AY7" t="s">
        <v>443</v>
      </c>
      <c r="AZ7" t="s">
        <v>904</v>
      </c>
      <c r="BA7">
        <v>2282205.56</v>
      </c>
      <c r="BB7">
        <v>0</v>
      </c>
      <c r="BC7" t="s">
        <v>24</v>
      </c>
      <c r="CN7" s="2"/>
    </row>
    <row r="8" spans="1:113" x14ac:dyDescent="0.2">
      <c r="A8" s="2" t="s">
        <v>382</v>
      </c>
      <c r="B8" t="s">
        <v>883</v>
      </c>
      <c r="C8" t="s">
        <v>884</v>
      </c>
      <c r="D8" t="s">
        <v>149</v>
      </c>
      <c r="E8" t="s">
        <v>376</v>
      </c>
      <c r="F8" t="s">
        <v>897</v>
      </c>
      <c r="G8" t="s">
        <v>898</v>
      </c>
      <c r="H8" t="s">
        <v>899</v>
      </c>
      <c r="J8" s="2">
        <v>43386</v>
      </c>
      <c r="K8">
        <v>0</v>
      </c>
      <c r="L8">
        <v>0</v>
      </c>
      <c r="M8">
        <v>0</v>
      </c>
      <c r="N8" s="2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2282205.56</v>
      </c>
      <c r="Z8">
        <v>2878450609.5500002</v>
      </c>
      <c r="AB8" t="s">
        <v>900</v>
      </c>
      <c r="AC8" t="s">
        <v>901</v>
      </c>
      <c r="AD8" t="s">
        <v>902</v>
      </c>
      <c r="AE8">
        <v>7</v>
      </c>
      <c r="AF8" t="s">
        <v>47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2282205.56</v>
      </c>
      <c r="AR8">
        <v>2282205.56</v>
      </c>
      <c r="AS8">
        <v>0</v>
      </c>
      <c r="AT8">
        <v>0</v>
      </c>
      <c r="AU8">
        <v>0</v>
      </c>
      <c r="AV8">
        <v>0</v>
      </c>
      <c r="AW8" t="s">
        <v>390</v>
      </c>
      <c r="AY8" t="s">
        <v>443</v>
      </c>
      <c r="AZ8" t="s">
        <v>904</v>
      </c>
      <c r="BA8">
        <v>0</v>
      </c>
      <c r="BB8">
        <v>0</v>
      </c>
      <c r="BC8" t="s">
        <v>24</v>
      </c>
      <c r="CN8" s="2"/>
    </row>
    <row r="9" spans="1:113" x14ac:dyDescent="0.2">
      <c r="A9" s="2" t="s">
        <v>382</v>
      </c>
      <c r="B9" t="s">
        <v>883</v>
      </c>
      <c r="C9" t="s">
        <v>884</v>
      </c>
      <c r="D9" t="s">
        <v>149</v>
      </c>
      <c r="E9" t="s">
        <v>376</v>
      </c>
      <c r="F9" t="s">
        <v>897</v>
      </c>
      <c r="G9" t="s">
        <v>898</v>
      </c>
      <c r="H9" t="s">
        <v>899</v>
      </c>
      <c r="J9" s="2">
        <v>43387</v>
      </c>
      <c r="K9">
        <v>0</v>
      </c>
      <c r="L9">
        <v>0</v>
      </c>
      <c r="M9">
        <v>0</v>
      </c>
      <c r="N9" s="2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2282205.56</v>
      </c>
      <c r="Z9">
        <v>2878450609.5500002</v>
      </c>
      <c r="AB9" t="s">
        <v>900</v>
      </c>
      <c r="AC9" t="s">
        <v>901</v>
      </c>
      <c r="AD9" t="s">
        <v>902</v>
      </c>
      <c r="AE9">
        <v>8</v>
      </c>
      <c r="AF9" t="s">
        <v>47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2282205.56</v>
      </c>
      <c r="AR9">
        <v>2282205.56</v>
      </c>
      <c r="AS9">
        <v>0</v>
      </c>
      <c r="AT9">
        <v>0</v>
      </c>
      <c r="AU9">
        <v>0</v>
      </c>
      <c r="AV9">
        <v>0</v>
      </c>
      <c r="AW9" t="s">
        <v>390</v>
      </c>
      <c r="AY9" t="s">
        <v>443</v>
      </c>
      <c r="AZ9" t="s">
        <v>904</v>
      </c>
      <c r="BA9">
        <v>0</v>
      </c>
      <c r="BB9">
        <v>0</v>
      </c>
      <c r="BC9" t="s">
        <v>24</v>
      </c>
      <c r="CN9" s="2"/>
    </row>
    <row r="10" spans="1:113" x14ac:dyDescent="0.2">
      <c r="A10" s="2" t="s">
        <v>382</v>
      </c>
      <c r="B10" t="s">
        <v>883</v>
      </c>
      <c r="C10" t="s">
        <v>884</v>
      </c>
      <c r="D10" t="s">
        <v>149</v>
      </c>
      <c r="E10" t="s">
        <v>376</v>
      </c>
      <c r="F10" t="s">
        <v>897</v>
      </c>
      <c r="G10" t="s">
        <v>898</v>
      </c>
      <c r="H10" t="s">
        <v>899</v>
      </c>
      <c r="J10" s="2">
        <v>43388</v>
      </c>
      <c r="K10">
        <v>0</v>
      </c>
      <c r="L10">
        <v>0</v>
      </c>
      <c r="M10">
        <v>0</v>
      </c>
      <c r="N10" s="2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2282205.56</v>
      </c>
      <c r="Z10">
        <v>2878450609.5500002</v>
      </c>
      <c r="AB10" t="s">
        <v>900</v>
      </c>
      <c r="AC10" t="s">
        <v>901</v>
      </c>
      <c r="AD10" t="s">
        <v>902</v>
      </c>
      <c r="AE10">
        <v>9</v>
      </c>
      <c r="AF10" t="s">
        <v>47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2282205.56</v>
      </c>
      <c r="AR10">
        <v>2282205.56</v>
      </c>
      <c r="AS10">
        <v>0</v>
      </c>
      <c r="AT10">
        <v>0</v>
      </c>
      <c r="AU10">
        <v>0</v>
      </c>
      <c r="AV10">
        <v>0</v>
      </c>
      <c r="AW10" t="s">
        <v>390</v>
      </c>
      <c r="AY10" t="s">
        <v>443</v>
      </c>
      <c r="AZ10" t="s">
        <v>904</v>
      </c>
      <c r="BA10">
        <v>0</v>
      </c>
      <c r="BB10">
        <v>0</v>
      </c>
      <c r="BC10" t="s">
        <v>24</v>
      </c>
      <c r="CN10" s="2"/>
    </row>
    <row r="11" spans="1:113" x14ac:dyDescent="0.2">
      <c r="A11" s="2" t="s">
        <v>382</v>
      </c>
      <c r="B11" t="s">
        <v>883</v>
      </c>
      <c r="C11" t="s">
        <v>884</v>
      </c>
      <c r="D11" t="s">
        <v>149</v>
      </c>
      <c r="E11" t="s">
        <v>376</v>
      </c>
      <c r="F11" t="s">
        <v>897</v>
      </c>
      <c r="G11" t="s">
        <v>898</v>
      </c>
      <c r="H11" t="s">
        <v>899</v>
      </c>
      <c r="J11" s="2">
        <v>43389</v>
      </c>
      <c r="K11">
        <v>0</v>
      </c>
      <c r="L11">
        <v>0</v>
      </c>
      <c r="M11">
        <v>0</v>
      </c>
      <c r="N11" s="2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2282205.56</v>
      </c>
      <c r="Z11">
        <v>2878450609.5500002</v>
      </c>
      <c r="AB11" t="s">
        <v>900</v>
      </c>
      <c r="AC11" t="s">
        <v>901</v>
      </c>
      <c r="AD11" t="s">
        <v>902</v>
      </c>
      <c r="AE11">
        <v>10</v>
      </c>
      <c r="AF11" t="s">
        <v>47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2282205.56</v>
      </c>
      <c r="AR11">
        <v>2282205.56</v>
      </c>
      <c r="AS11">
        <v>0</v>
      </c>
      <c r="AT11">
        <v>0</v>
      </c>
      <c r="AU11">
        <v>0</v>
      </c>
      <c r="AV11">
        <v>0</v>
      </c>
      <c r="AW11" t="s">
        <v>390</v>
      </c>
      <c r="AY11" t="s">
        <v>443</v>
      </c>
      <c r="AZ11" t="s">
        <v>904</v>
      </c>
      <c r="BA11">
        <v>2282205.56</v>
      </c>
      <c r="BB11">
        <v>0</v>
      </c>
      <c r="BC11" t="s">
        <v>24</v>
      </c>
      <c r="CN11" s="2"/>
    </row>
    <row r="12" spans="1:113" x14ac:dyDescent="0.2">
      <c r="A12" s="2" t="s">
        <v>382</v>
      </c>
      <c r="B12" t="s">
        <v>883</v>
      </c>
      <c r="C12" t="s">
        <v>884</v>
      </c>
      <c r="D12" t="s">
        <v>149</v>
      </c>
      <c r="E12" t="s">
        <v>376</v>
      </c>
      <c r="F12" t="s">
        <v>897</v>
      </c>
      <c r="G12" t="s">
        <v>898</v>
      </c>
      <c r="H12" t="s">
        <v>899</v>
      </c>
      <c r="J12" s="2">
        <v>43390</v>
      </c>
      <c r="K12">
        <v>0</v>
      </c>
      <c r="L12">
        <v>0</v>
      </c>
      <c r="M12">
        <v>0</v>
      </c>
      <c r="N12" s="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2282205.56</v>
      </c>
      <c r="Z12">
        <v>2878450609.5500002</v>
      </c>
      <c r="AB12" t="s">
        <v>900</v>
      </c>
      <c r="AC12" t="s">
        <v>901</v>
      </c>
      <c r="AD12" t="s">
        <v>902</v>
      </c>
      <c r="AE12">
        <v>11</v>
      </c>
      <c r="AF12" t="s">
        <v>47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2282205.56</v>
      </c>
      <c r="AR12">
        <v>2282205.56</v>
      </c>
      <c r="AS12">
        <v>0</v>
      </c>
      <c r="AT12">
        <v>0</v>
      </c>
      <c r="AU12">
        <v>0</v>
      </c>
      <c r="AV12">
        <v>0</v>
      </c>
      <c r="AW12" t="s">
        <v>390</v>
      </c>
      <c r="AY12" t="s">
        <v>443</v>
      </c>
      <c r="AZ12" t="s">
        <v>904</v>
      </c>
      <c r="BA12">
        <v>2282205.56</v>
      </c>
      <c r="BB12">
        <v>0</v>
      </c>
      <c r="BC12" t="s">
        <v>24</v>
      </c>
      <c r="CN12" s="2"/>
    </row>
    <row r="13" spans="1:113" x14ac:dyDescent="0.2">
      <c r="A13" s="2" t="s">
        <v>382</v>
      </c>
      <c r="B13" t="s">
        <v>883</v>
      </c>
      <c r="C13" t="s">
        <v>884</v>
      </c>
      <c r="D13" t="s">
        <v>149</v>
      </c>
      <c r="E13" t="s">
        <v>376</v>
      </c>
      <c r="F13" t="s">
        <v>897</v>
      </c>
      <c r="G13" t="s">
        <v>898</v>
      </c>
      <c r="H13" t="s">
        <v>899</v>
      </c>
      <c r="J13" s="2">
        <v>43391</v>
      </c>
      <c r="K13">
        <v>0</v>
      </c>
      <c r="L13">
        <v>0</v>
      </c>
      <c r="M13">
        <v>0</v>
      </c>
      <c r="N13" s="2">
        <v>0</v>
      </c>
      <c r="O13">
        <v>65000000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67282205.560000002</v>
      </c>
      <c r="Z13">
        <v>2878450609.5500002</v>
      </c>
      <c r="AB13" t="s">
        <v>900</v>
      </c>
      <c r="AC13" t="s">
        <v>901</v>
      </c>
      <c r="AD13" t="s">
        <v>902</v>
      </c>
      <c r="AE13">
        <v>12</v>
      </c>
      <c r="AF13" t="s">
        <v>47</v>
      </c>
      <c r="AG13">
        <v>0</v>
      </c>
      <c r="AH13">
        <v>0</v>
      </c>
      <c r="AI13">
        <v>0</v>
      </c>
      <c r="AJ13">
        <v>65000000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67282205.560000002</v>
      </c>
      <c r="AR13">
        <v>67282205.560000002</v>
      </c>
      <c r="AS13">
        <v>0</v>
      </c>
      <c r="AT13">
        <v>0</v>
      </c>
      <c r="AU13">
        <v>0</v>
      </c>
      <c r="AV13">
        <v>0</v>
      </c>
      <c r="AW13" t="s">
        <v>390</v>
      </c>
      <c r="AY13" t="s">
        <v>443</v>
      </c>
      <c r="AZ13" t="s">
        <v>904</v>
      </c>
      <c r="BA13">
        <v>67282205.560000002</v>
      </c>
      <c r="BB13">
        <v>0</v>
      </c>
      <c r="BC13" t="s">
        <v>24</v>
      </c>
      <c r="CN13" s="2"/>
    </row>
    <row r="14" spans="1:113" x14ac:dyDescent="0.2">
      <c r="A14" s="2" t="s">
        <v>382</v>
      </c>
      <c r="B14" t="s">
        <v>883</v>
      </c>
      <c r="C14" t="s">
        <v>884</v>
      </c>
      <c r="D14" t="s">
        <v>149</v>
      </c>
      <c r="E14" t="s">
        <v>376</v>
      </c>
      <c r="F14" t="s">
        <v>897</v>
      </c>
      <c r="G14" t="s">
        <v>898</v>
      </c>
      <c r="H14" t="s">
        <v>899</v>
      </c>
      <c r="J14" s="2">
        <v>43392</v>
      </c>
      <c r="K14">
        <v>0</v>
      </c>
      <c r="L14">
        <v>0</v>
      </c>
      <c r="M14">
        <v>0</v>
      </c>
      <c r="N14" s="2">
        <v>0</v>
      </c>
      <c r="O14">
        <v>40000000</v>
      </c>
      <c r="P14">
        <v>601643.84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107883849.40000001</v>
      </c>
      <c r="Z14">
        <v>2878450609.5500002</v>
      </c>
      <c r="AB14" t="s">
        <v>900</v>
      </c>
      <c r="AC14" t="s">
        <v>901</v>
      </c>
      <c r="AD14" t="s">
        <v>902</v>
      </c>
      <c r="AE14">
        <v>13</v>
      </c>
      <c r="AF14" t="s">
        <v>47</v>
      </c>
      <c r="AG14">
        <v>0</v>
      </c>
      <c r="AH14">
        <v>0</v>
      </c>
      <c r="AI14">
        <v>0</v>
      </c>
      <c r="AJ14">
        <v>40000000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107883849.40000001</v>
      </c>
      <c r="AR14">
        <v>107282205.56</v>
      </c>
      <c r="AS14">
        <v>0</v>
      </c>
      <c r="AT14">
        <v>0</v>
      </c>
      <c r="AU14">
        <v>0</v>
      </c>
      <c r="AV14">
        <v>0</v>
      </c>
      <c r="AW14" t="s">
        <v>390</v>
      </c>
      <c r="AY14" t="s">
        <v>443</v>
      </c>
      <c r="AZ14" t="s">
        <v>904</v>
      </c>
      <c r="BA14">
        <v>107282205.56</v>
      </c>
      <c r="BB14">
        <v>0</v>
      </c>
      <c r="BC14" t="s">
        <v>24</v>
      </c>
      <c r="CN14" s="2"/>
    </row>
    <row r="15" spans="1:113" x14ac:dyDescent="0.2">
      <c r="A15" s="2" t="s">
        <v>382</v>
      </c>
      <c r="B15" t="s">
        <v>883</v>
      </c>
      <c r="C15" t="s">
        <v>884</v>
      </c>
      <c r="D15" t="s">
        <v>149</v>
      </c>
      <c r="E15" t="s">
        <v>376</v>
      </c>
      <c r="F15" t="s">
        <v>897</v>
      </c>
      <c r="G15" t="s">
        <v>898</v>
      </c>
      <c r="H15" t="s">
        <v>899</v>
      </c>
      <c r="J15" s="2">
        <v>43393</v>
      </c>
      <c r="K15">
        <v>0</v>
      </c>
      <c r="L15">
        <v>0</v>
      </c>
      <c r="M15">
        <v>0</v>
      </c>
      <c r="N15" s="2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107883849.40000001</v>
      </c>
      <c r="Z15">
        <v>2878450609.5500002</v>
      </c>
      <c r="AB15" t="s">
        <v>900</v>
      </c>
      <c r="AC15" t="s">
        <v>901</v>
      </c>
      <c r="AD15" t="s">
        <v>902</v>
      </c>
      <c r="AE15">
        <v>14</v>
      </c>
      <c r="AF15" t="s">
        <v>47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107883849.40000001</v>
      </c>
      <c r="AR15">
        <v>107883849.40000001</v>
      </c>
      <c r="AS15">
        <v>0</v>
      </c>
      <c r="AT15">
        <v>0</v>
      </c>
      <c r="AU15">
        <v>0</v>
      </c>
      <c r="AV15">
        <v>0</v>
      </c>
      <c r="AW15" t="s">
        <v>390</v>
      </c>
      <c r="AY15" t="s">
        <v>443</v>
      </c>
      <c r="AZ15" t="s">
        <v>904</v>
      </c>
      <c r="BA15">
        <v>0</v>
      </c>
      <c r="BB15">
        <v>0</v>
      </c>
      <c r="BC15" t="s">
        <v>24</v>
      </c>
      <c r="CN15" s="2"/>
    </row>
    <row r="16" spans="1:113" x14ac:dyDescent="0.2">
      <c r="A16" s="2" t="s">
        <v>382</v>
      </c>
      <c r="B16" t="s">
        <v>883</v>
      </c>
      <c r="C16" t="s">
        <v>884</v>
      </c>
      <c r="D16" t="s">
        <v>149</v>
      </c>
      <c r="E16" t="s">
        <v>376</v>
      </c>
      <c r="F16" t="s">
        <v>897</v>
      </c>
      <c r="G16" t="s">
        <v>898</v>
      </c>
      <c r="H16" t="s">
        <v>899</v>
      </c>
      <c r="J16" s="2">
        <v>43394</v>
      </c>
      <c r="K16">
        <v>0</v>
      </c>
      <c r="L16">
        <v>0</v>
      </c>
      <c r="M16">
        <v>0</v>
      </c>
      <c r="N16" s="2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107883849.40000001</v>
      </c>
      <c r="Z16">
        <v>2878450609.5500002</v>
      </c>
      <c r="AB16" t="s">
        <v>900</v>
      </c>
      <c r="AC16" t="s">
        <v>901</v>
      </c>
      <c r="AD16" t="s">
        <v>902</v>
      </c>
      <c r="AE16">
        <v>15</v>
      </c>
      <c r="AF16" t="s">
        <v>47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107883849.40000001</v>
      </c>
      <c r="AR16">
        <v>107883849.40000001</v>
      </c>
      <c r="AS16">
        <v>0</v>
      </c>
      <c r="AT16">
        <v>0</v>
      </c>
      <c r="AU16">
        <v>0</v>
      </c>
      <c r="AV16">
        <v>0</v>
      </c>
      <c r="AW16" t="s">
        <v>390</v>
      </c>
      <c r="AY16" t="s">
        <v>443</v>
      </c>
      <c r="AZ16" t="s">
        <v>904</v>
      </c>
      <c r="BA16">
        <v>0</v>
      </c>
      <c r="BB16">
        <v>0</v>
      </c>
      <c r="BC16" t="s">
        <v>24</v>
      </c>
      <c r="CN16" s="2"/>
    </row>
    <row r="17" spans="1:92" x14ac:dyDescent="0.2">
      <c r="A17" s="2" t="s">
        <v>382</v>
      </c>
      <c r="B17" t="s">
        <v>883</v>
      </c>
      <c r="C17" t="s">
        <v>884</v>
      </c>
      <c r="D17" t="s">
        <v>149</v>
      </c>
      <c r="E17" t="s">
        <v>376</v>
      </c>
      <c r="F17" t="s">
        <v>897</v>
      </c>
      <c r="G17" t="s">
        <v>898</v>
      </c>
      <c r="H17" t="s">
        <v>899</v>
      </c>
      <c r="J17" s="2">
        <v>43395</v>
      </c>
      <c r="K17">
        <v>0</v>
      </c>
      <c r="L17">
        <v>0</v>
      </c>
      <c r="M17">
        <v>0</v>
      </c>
      <c r="N17" s="2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107883849.40000001</v>
      </c>
      <c r="Z17">
        <v>2878450609.5500002</v>
      </c>
      <c r="AB17" t="s">
        <v>900</v>
      </c>
      <c r="AC17" t="s">
        <v>901</v>
      </c>
      <c r="AD17" t="s">
        <v>902</v>
      </c>
      <c r="AE17">
        <v>16</v>
      </c>
      <c r="AF17" t="s">
        <v>47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107883849.40000001</v>
      </c>
      <c r="AR17">
        <v>107883849.40000001</v>
      </c>
      <c r="AS17">
        <v>0</v>
      </c>
      <c r="AT17">
        <v>0</v>
      </c>
      <c r="AU17">
        <v>0</v>
      </c>
      <c r="AV17">
        <v>0</v>
      </c>
      <c r="AW17" t="s">
        <v>390</v>
      </c>
      <c r="AY17" t="s">
        <v>443</v>
      </c>
      <c r="AZ17" t="s">
        <v>904</v>
      </c>
      <c r="BA17">
        <v>107282205.56</v>
      </c>
      <c r="BB17">
        <v>0</v>
      </c>
      <c r="BC17" t="s">
        <v>24</v>
      </c>
      <c r="CN17" s="2"/>
    </row>
    <row r="18" spans="1:92" x14ac:dyDescent="0.2">
      <c r="A18" s="2"/>
      <c r="N18" s="2"/>
      <c r="CN18" s="2"/>
    </row>
    <row r="19" spans="1:92" x14ac:dyDescent="0.2">
      <c r="A19" s="2"/>
      <c r="N19" s="2"/>
      <c r="CN19" s="2"/>
    </row>
    <row r="20" spans="1:92" x14ac:dyDescent="0.2">
      <c r="A20" s="2"/>
      <c r="N20" s="2"/>
      <c r="CN20" s="2"/>
    </row>
    <row r="21" spans="1:92" x14ac:dyDescent="0.2">
      <c r="A21" s="2"/>
      <c r="N21" s="2"/>
      <c r="CN21" s="2"/>
    </row>
    <row r="22" spans="1:92" x14ac:dyDescent="0.2">
      <c r="A22" s="2"/>
      <c r="N22" s="2"/>
      <c r="CN22" s="2"/>
    </row>
    <row r="23" spans="1:92" x14ac:dyDescent="0.2">
      <c r="A23" s="2"/>
      <c r="N23" s="2"/>
      <c r="CN23" s="2"/>
    </row>
    <row r="24" spans="1:92" x14ac:dyDescent="0.2">
      <c r="A24" s="2"/>
      <c r="N24" s="2"/>
      <c r="CN24" s="2"/>
    </row>
    <row r="25" spans="1:92" x14ac:dyDescent="0.2">
      <c r="A25" s="2"/>
      <c r="N25" s="2"/>
      <c r="CN25" s="2"/>
    </row>
    <row r="26" spans="1:92" x14ac:dyDescent="0.2">
      <c r="A26" s="2"/>
      <c r="N26" s="2"/>
      <c r="CN26" s="2"/>
    </row>
    <row r="27" spans="1:92" x14ac:dyDescent="0.2">
      <c r="A27" s="2"/>
      <c r="N27" s="2"/>
      <c r="CN27" s="2"/>
    </row>
    <row r="28" spans="1:92" x14ac:dyDescent="0.2">
      <c r="A28" s="2"/>
      <c r="N28" s="2"/>
      <c r="CN28" s="2"/>
    </row>
    <row r="29" spans="1:92" x14ac:dyDescent="0.2">
      <c r="A29" s="2"/>
      <c r="N29" s="2"/>
      <c r="CN29" s="2"/>
    </row>
    <row r="30" spans="1:92" x14ac:dyDescent="0.2">
      <c r="A30" s="2"/>
      <c r="N30" s="2"/>
      <c r="CN30" s="2"/>
    </row>
    <row r="31" spans="1:92" x14ac:dyDescent="0.2">
      <c r="A31" s="2"/>
      <c r="N31" s="2"/>
      <c r="CN31" s="2"/>
    </row>
    <row r="32" spans="1:92" x14ac:dyDescent="0.2">
      <c r="A32" s="2"/>
      <c r="N32" s="2"/>
      <c r="CN32" s="2"/>
    </row>
    <row r="33" spans="1:92" x14ac:dyDescent="0.2">
      <c r="A33" s="2"/>
      <c r="N33" s="2"/>
      <c r="CN33" s="2"/>
    </row>
    <row r="34" spans="1:92" x14ac:dyDescent="0.2">
      <c r="A34" s="2"/>
      <c r="N34" s="2"/>
      <c r="CN34" s="2"/>
    </row>
    <row r="35" spans="1:92" x14ac:dyDescent="0.2">
      <c r="A35" s="2"/>
      <c r="N35" s="2"/>
      <c r="CN35" s="2"/>
    </row>
    <row r="36" spans="1:92" x14ac:dyDescent="0.2">
      <c r="A36" s="2"/>
      <c r="N36" s="2"/>
      <c r="CN36" s="2"/>
    </row>
    <row r="37" spans="1:92" x14ac:dyDescent="0.2">
      <c r="A37" s="2"/>
      <c r="N37" s="2"/>
      <c r="CN37" s="2"/>
    </row>
    <row r="38" spans="1:92" x14ac:dyDescent="0.2">
      <c r="A38" s="2"/>
      <c r="N38" s="2"/>
      <c r="CN38" s="2"/>
    </row>
    <row r="39" spans="1:92" x14ac:dyDescent="0.2">
      <c r="A39" s="2"/>
      <c r="N39" s="2"/>
      <c r="CN39" s="2"/>
    </row>
    <row r="40" spans="1:92" x14ac:dyDescent="0.2">
      <c r="A40" s="2"/>
      <c r="N40" s="2"/>
      <c r="CN40" s="2"/>
    </row>
    <row r="41" spans="1:92" x14ac:dyDescent="0.2">
      <c r="A41" s="2"/>
      <c r="N41" s="2"/>
      <c r="CN41" s="2"/>
    </row>
    <row r="42" spans="1:92" x14ac:dyDescent="0.2">
      <c r="A42" s="2"/>
      <c r="N42" s="2"/>
      <c r="CN42" s="2"/>
    </row>
    <row r="43" spans="1:92" x14ac:dyDescent="0.2">
      <c r="A43" s="2"/>
      <c r="N43" s="2"/>
      <c r="CN43" s="2"/>
    </row>
    <row r="44" spans="1:92" x14ac:dyDescent="0.2">
      <c r="A44" s="2"/>
      <c r="N44" s="2"/>
      <c r="CN44" s="2"/>
    </row>
    <row r="45" spans="1:92" x14ac:dyDescent="0.2">
      <c r="A45" s="2"/>
      <c r="N45" s="2"/>
      <c r="CN45" s="2"/>
    </row>
    <row r="46" spans="1:92" x14ac:dyDescent="0.2">
      <c r="A46" s="2"/>
      <c r="N46" s="2"/>
      <c r="CN46" s="2"/>
    </row>
    <row r="47" spans="1:92" x14ac:dyDescent="0.2">
      <c r="A47" s="2"/>
      <c r="N47" s="2"/>
      <c r="CN47" s="2"/>
    </row>
    <row r="48" spans="1:92" x14ac:dyDescent="0.2">
      <c r="A48" s="2"/>
      <c r="N48" s="2"/>
      <c r="CN48" s="2"/>
    </row>
    <row r="49" spans="1:92" x14ac:dyDescent="0.2">
      <c r="A49" s="2"/>
      <c r="N49" s="2"/>
      <c r="CN49" s="2"/>
    </row>
    <row r="50" spans="1:92" x14ac:dyDescent="0.2">
      <c r="A50" s="2"/>
      <c r="N50" s="2"/>
      <c r="CN50" s="2"/>
    </row>
    <row r="51" spans="1:92" x14ac:dyDescent="0.2">
      <c r="A51" s="2"/>
      <c r="N51" s="2"/>
      <c r="CN51" s="2"/>
    </row>
    <row r="52" spans="1:92" x14ac:dyDescent="0.2">
      <c r="A52" s="2"/>
      <c r="N52" s="2"/>
      <c r="CN52" s="2"/>
    </row>
    <row r="53" spans="1:92" x14ac:dyDescent="0.2">
      <c r="A53" s="2"/>
      <c r="N53" s="2"/>
      <c r="CN53" s="2"/>
    </row>
    <row r="54" spans="1:92" x14ac:dyDescent="0.2">
      <c r="A54" s="2"/>
      <c r="N54" s="2"/>
      <c r="CN54" s="2"/>
    </row>
    <row r="55" spans="1:92" x14ac:dyDescent="0.2">
      <c r="A55" s="2"/>
      <c r="N55" s="2"/>
      <c r="CN55" s="2"/>
    </row>
    <row r="56" spans="1:92" x14ac:dyDescent="0.2">
      <c r="A56" s="2"/>
      <c r="N56" s="2"/>
      <c r="CN56" s="2"/>
    </row>
    <row r="57" spans="1:92" x14ac:dyDescent="0.2">
      <c r="A57" s="2"/>
      <c r="N57" s="2"/>
      <c r="CN57" s="2"/>
    </row>
    <row r="58" spans="1:92" x14ac:dyDescent="0.2">
      <c r="A58" s="2"/>
      <c r="N58" s="2"/>
      <c r="CN58" s="2"/>
    </row>
    <row r="59" spans="1:92" x14ac:dyDescent="0.2">
      <c r="A59" s="2"/>
      <c r="N59" s="2"/>
      <c r="CN59" s="2"/>
    </row>
    <row r="60" spans="1:92" x14ac:dyDescent="0.2">
      <c r="A60" s="2"/>
      <c r="N60" s="2"/>
      <c r="CN60" s="2"/>
    </row>
    <row r="61" spans="1:92" x14ac:dyDescent="0.2">
      <c r="A61" s="2"/>
      <c r="N61" s="2"/>
      <c r="CN61" s="2"/>
    </row>
    <row r="62" spans="1:92" x14ac:dyDescent="0.2">
      <c r="A62" s="2"/>
      <c r="N62" s="2"/>
      <c r="CN62" s="2"/>
    </row>
    <row r="63" spans="1:92" x14ac:dyDescent="0.2">
      <c r="A63" s="2"/>
      <c r="N63" s="2"/>
      <c r="CN63" s="2"/>
    </row>
    <row r="64" spans="1:92" x14ac:dyDescent="0.2">
      <c r="A64" s="2"/>
      <c r="N64" s="2"/>
      <c r="CN64" s="2"/>
    </row>
    <row r="65" spans="1:92" x14ac:dyDescent="0.2">
      <c r="A65" s="2"/>
      <c r="N65" s="2"/>
      <c r="CN65" s="2"/>
    </row>
    <row r="66" spans="1:92" x14ac:dyDescent="0.2">
      <c r="A66" s="2"/>
      <c r="N66" s="2"/>
      <c r="CN66" s="2"/>
    </row>
    <row r="67" spans="1:92" x14ac:dyDescent="0.2">
      <c r="A67" s="2"/>
      <c r="N67" s="2"/>
      <c r="CN67" s="2"/>
    </row>
    <row r="68" spans="1:92" x14ac:dyDescent="0.2">
      <c r="A68" s="2"/>
      <c r="N68" s="2"/>
      <c r="CN68" s="2"/>
    </row>
    <row r="69" spans="1:92" x14ac:dyDescent="0.2">
      <c r="A69" s="2"/>
      <c r="N69" s="2"/>
      <c r="CN69" s="2"/>
    </row>
    <row r="70" spans="1:92" x14ac:dyDescent="0.2">
      <c r="A70" s="2"/>
      <c r="N70" s="2"/>
      <c r="CN70" s="2"/>
    </row>
    <row r="71" spans="1:92" x14ac:dyDescent="0.2">
      <c r="A71" s="2"/>
      <c r="N71" s="2"/>
      <c r="CN71" s="2"/>
    </row>
    <row r="72" spans="1:92" x14ac:dyDescent="0.2">
      <c r="A72" s="2"/>
      <c r="N72" s="2"/>
      <c r="CN72" s="2"/>
    </row>
    <row r="73" spans="1:92" x14ac:dyDescent="0.2">
      <c r="A73" s="2"/>
      <c r="N73" s="2"/>
      <c r="CN73" s="2"/>
    </row>
    <row r="74" spans="1:92" x14ac:dyDescent="0.2">
      <c r="A74" s="2"/>
      <c r="N74" s="2"/>
      <c r="CN74" s="2"/>
    </row>
    <row r="75" spans="1:92" x14ac:dyDescent="0.2">
      <c r="A75" s="2"/>
      <c r="N75" s="2"/>
      <c r="CN75" s="2"/>
    </row>
    <row r="76" spans="1:92" x14ac:dyDescent="0.2">
      <c r="A76" s="2"/>
      <c r="N76" s="2"/>
      <c r="CN76" s="2"/>
    </row>
    <row r="77" spans="1:92" x14ac:dyDescent="0.2">
      <c r="A77" s="2"/>
      <c r="N77" s="2"/>
      <c r="CN77" s="2"/>
    </row>
    <row r="78" spans="1:92" x14ac:dyDescent="0.2">
      <c r="A78" s="2"/>
      <c r="N78" s="2"/>
      <c r="CN78" s="2"/>
    </row>
    <row r="79" spans="1:92" x14ac:dyDescent="0.2">
      <c r="A79" s="2"/>
      <c r="N79" s="2"/>
      <c r="CN79" s="2"/>
    </row>
    <row r="80" spans="1:92" x14ac:dyDescent="0.2">
      <c r="A80" s="2"/>
      <c r="N80" s="2"/>
      <c r="CN80" s="2"/>
    </row>
    <row r="81" spans="1:92" x14ac:dyDescent="0.2">
      <c r="A81" s="2"/>
      <c r="N81" s="2"/>
      <c r="CN81" s="2"/>
    </row>
    <row r="82" spans="1:92" x14ac:dyDescent="0.2">
      <c r="A82" s="2"/>
      <c r="N82" s="2"/>
      <c r="CN82" s="2"/>
    </row>
    <row r="83" spans="1:92" x14ac:dyDescent="0.2">
      <c r="A83" s="2"/>
      <c r="N83" s="2"/>
      <c r="CN83" s="2"/>
    </row>
    <row r="84" spans="1:92" x14ac:dyDescent="0.2">
      <c r="A84" s="2"/>
      <c r="N84" s="2"/>
      <c r="CN84" s="2"/>
    </row>
    <row r="85" spans="1:92" x14ac:dyDescent="0.2">
      <c r="A85" s="2"/>
      <c r="N85" s="2"/>
      <c r="CN85" s="2"/>
    </row>
    <row r="86" spans="1:92" x14ac:dyDescent="0.2">
      <c r="A86" s="2"/>
      <c r="N86" s="2"/>
      <c r="CN86" s="2"/>
    </row>
    <row r="87" spans="1:92" x14ac:dyDescent="0.2">
      <c r="A87" s="2"/>
      <c r="N87" s="2"/>
      <c r="CN87" s="2"/>
    </row>
    <row r="88" spans="1:92" x14ac:dyDescent="0.2">
      <c r="A88" s="2"/>
      <c r="N88" s="2"/>
      <c r="CN88" s="2"/>
    </row>
    <row r="89" spans="1:92" x14ac:dyDescent="0.2">
      <c r="A89" s="2"/>
      <c r="N89" s="2"/>
      <c r="CN89" s="2"/>
    </row>
    <row r="90" spans="1:92" x14ac:dyDescent="0.2">
      <c r="A90" s="2"/>
      <c r="N90" s="2"/>
      <c r="CN90" s="2"/>
    </row>
    <row r="91" spans="1:92" x14ac:dyDescent="0.2">
      <c r="A91" s="2"/>
      <c r="N91" s="2"/>
      <c r="CN91" s="2"/>
    </row>
    <row r="92" spans="1:92" x14ac:dyDescent="0.2">
      <c r="A92" s="2"/>
      <c r="N92" s="2"/>
      <c r="CN92" s="2"/>
    </row>
    <row r="93" spans="1:92" x14ac:dyDescent="0.2">
      <c r="A93" s="2"/>
      <c r="N93" s="2"/>
      <c r="CN93" s="2"/>
    </row>
    <row r="94" spans="1:92" x14ac:dyDescent="0.2">
      <c r="A94" s="2"/>
      <c r="N94" s="2"/>
      <c r="CN94" s="2"/>
    </row>
    <row r="95" spans="1:92" x14ac:dyDescent="0.2">
      <c r="A95" s="2"/>
      <c r="N95" s="2"/>
      <c r="CN95" s="2"/>
    </row>
    <row r="96" spans="1:92" x14ac:dyDescent="0.2">
      <c r="A96" s="2"/>
      <c r="N96" s="2"/>
      <c r="CN96" s="2"/>
    </row>
    <row r="97" spans="1:92" x14ac:dyDescent="0.2">
      <c r="A97" s="2"/>
      <c r="N97" s="2"/>
      <c r="CN97" s="2"/>
    </row>
    <row r="98" spans="1:92" x14ac:dyDescent="0.2">
      <c r="A98" s="2"/>
      <c r="N98" s="2"/>
      <c r="CN98" s="2"/>
    </row>
    <row r="99" spans="1:92" x14ac:dyDescent="0.2">
      <c r="A99" s="2"/>
      <c r="N99" s="2"/>
      <c r="CN99" s="2"/>
    </row>
    <row r="100" spans="1:92" x14ac:dyDescent="0.2">
      <c r="A100" s="2"/>
      <c r="N100" s="2"/>
      <c r="CN100" s="2"/>
    </row>
    <row r="101" spans="1:92" x14ac:dyDescent="0.2">
      <c r="A101" s="2"/>
      <c r="N101" s="2"/>
      <c r="CN101" s="2"/>
    </row>
    <row r="102" spans="1:92" x14ac:dyDescent="0.2">
      <c r="A102" s="2"/>
      <c r="N102" s="2"/>
      <c r="CN102" s="2"/>
    </row>
    <row r="103" spans="1:92" x14ac:dyDescent="0.2">
      <c r="A103" s="2"/>
      <c r="N103" s="2"/>
      <c r="CN103" s="2"/>
    </row>
    <row r="104" spans="1:92" x14ac:dyDescent="0.2">
      <c r="A104" s="2"/>
      <c r="N104" s="2"/>
      <c r="CN104" s="2"/>
    </row>
    <row r="105" spans="1:92" x14ac:dyDescent="0.2">
      <c r="A105" s="2"/>
      <c r="N105" s="2"/>
      <c r="CN105" s="2"/>
    </row>
    <row r="106" spans="1:92" x14ac:dyDescent="0.2">
      <c r="A106" s="2"/>
      <c r="N106" s="2"/>
      <c r="CN106" s="2"/>
    </row>
    <row r="107" spans="1:92" x14ac:dyDescent="0.2">
      <c r="A107" s="2"/>
      <c r="N107" s="2"/>
      <c r="CN107" s="2"/>
    </row>
    <row r="108" spans="1:92" x14ac:dyDescent="0.2">
      <c r="A108" s="2"/>
      <c r="N108" s="2"/>
      <c r="CN108" s="2"/>
    </row>
    <row r="109" spans="1:92" x14ac:dyDescent="0.2">
      <c r="A109" s="2"/>
      <c r="N109" s="2"/>
      <c r="CN109" s="2"/>
    </row>
    <row r="110" spans="1:92" x14ac:dyDescent="0.2">
      <c r="A110" s="2"/>
      <c r="N110" s="2"/>
      <c r="CN110" s="2"/>
    </row>
    <row r="111" spans="1:92" x14ac:dyDescent="0.2">
      <c r="A111" s="2"/>
      <c r="N111" s="2"/>
      <c r="CN111" s="2"/>
    </row>
    <row r="112" spans="1:92" x14ac:dyDescent="0.2">
      <c r="A112" s="2"/>
      <c r="N112" s="2"/>
      <c r="CN112" s="2"/>
    </row>
    <row r="113" spans="1:92" x14ac:dyDescent="0.2">
      <c r="A113" s="2"/>
      <c r="N113" s="2"/>
      <c r="CN113" s="2"/>
    </row>
    <row r="114" spans="1:92" x14ac:dyDescent="0.2">
      <c r="A114" s="2"/>
      <c r="N114" s="2"/>
      <c r="CN114" s="2"/>
    </row>
    <row r="115" spans="1:92" x14ac:dyDescent="0.2">
      <c r="A115" s="2"/>
      <c r="N115" s="2"/>
      <c r="CN115" s="2"/>
    </row>
    <row r="116" spans="1:92" x14ac:dyDescent="0.2">
      <c r="A116" s="2"/>
      <c r="N116" s="2"/>
      <c r="CN116" s="2"/>
    </row>
    <row r="117" spans="1:92" x14ac:dyDescent="0.2">
      <c r="A117" s="2"/>
      <c r="N117" s="2"/>
      <c r="CN117" s="2"/>
    </row>
    <row r="118" spans="1:92" x14ac:dyDescent="0.2">
      <c r="A118" s="2"/>
      <c r="N118" s="2"/>
      <c r="CN118" s="2"/>
    </row>
    <row r="119" spans="1:92" x14ac:dyDescent="0.2">
      <c r="A119" s="2"/>
      <c r="N119" s="2"/>
      <c r="CN119" s="2"/>
    </row>
    <row r="120" spans="1:92" x14ac:dyDescent="0.2">
      <c r="A120" s="2"/>
      <c r="N120" s="2"/>
      <c r="CN120" s="2"/>
    </row>
    <row r="121" spans="1:92" x14ac:dyDescent="0.2">
      <c r="A121" s="2"/>
      <c r="N121" s="2"/>
      <c r="CN121" s="2"/>
    </row>
    <row r="122" spans="1:92" x14ac:dyDescent="0.2">
      <c r="A122" s="2"/>
      <c r="N122" s="2"/>
      <c r="CN122" s="2"/>
    </row>
    <row r="123" spans="1:92" x14ac:dyDescent="0.2">
      <c r="A123" s="2"/>
      <c r="N123" s="2"/>
      <c r="CN123" s="2"/>
    </row>
    <row r="124" spans="1:92" x14ac:dyDescent="0.2">
      <c r="A124" s="2"/>
      <c r="N124" s="2"/>
      <c r="CN124" s="2"/>
    </row>
    <row r="125" spans="1:92" x14ac:dyDescent="0.2">
      <c r="A125" s="2"/>
      <c r="N125" s="2"/>
      <c r="CN125" s="2"/>
    </row>
    <row r="126" spans="1:92" x14ac:dyDescent="0.2">
      <c r="A126" s="2"/>
      <c r="N126" s="2"/>
      <c r="CN126" s="2"/>
    </row>
    <row r="127" spans="1:92" x14ac:dyDescent="0.2">
      <c r="A127" s="2"/>
      <c r="N127" s="2"/>
      <c r="CN127" s="2"/>
    </row>
    <row r="128" spans="1:92" x14ac:dyDescent="0.2">
      <c r="A128" s="2"/>
      <c r="N128" s="2"/>
      <c r="CN128" s="2"/>
    </row>
    <row r="129" spans="1:92" x14ac:dyDescent="0.2">
      <c r="A129" s="2"/>
      <c r="N129" s="2"/>
      <c r="CN129" s="2"/>
    </row>
    <row r="130" spans="1:92" x14ac:dyDescent="0.2">
      <c r="A130" s="2"/>
      <c r="N130" s="2"/>
      <c r="CN130" s="2"/>
    </row>
    <row r="131" spans="1:92" x14ac:dyDescent="0.2">
      <c r="A131" s="2"/>
      <c r="N131" s="2"/>
      <c r="CN131" s="2"/>
    </row>
    <row r="132" spans="1:92" x14ac:dyDescent="0.2">
      <c r="A132" s="2"/>
      <c r="N132" s="2"/>
      <c r="CN132" s="2"/>
    </row>
    <row r="133" spans="1:92" x14ac:dyDescent="0.2">
      <c r="A133" s="2"/>
      <c r="N133" s="2"/>
      <c r="CN133" s="2"/>
    </row>
    <row r="134" spans="1:92" x14ac:dyDescent="0.2">
      <c r="A134" s="2"/>
      <c r="N134" s="2"/>
      <c r="CN134" s="2"/>
    </row>
    <row r="135" spans="1:92" x14ac:dyDescent="0.2">
      <c r="A135" s="2"/>
      <c r="N135" s="2"/>
      <c r="CN135" s="2"/>
    </row>
    <row r="136" spans="1:92" x14ac:dyDescent="0.2">
      <c r="A136" s="2"/>
      <c r="N136" s="2"/>
      <c r="CN136" s="2"/>
    </row>
    <row r="137" spans="1:92" x14ac:dyDescent="0.2">
      <c r="A137" s="2"/>
      <c r="N137" s="2"/>
      <c r="CN137" s="2"/>
    </row>
    <row r="138" spans="1:92" x14ac:dyDescent="0.2">
      <c r="A138" s="2"/>
      <c r="N138" s="2"/>
      <c r="CN138" s="2"/>
    </row>
    <row r="139" spans="1:92" x14ac:dyDescent="0.2">
      <c r="A139" s="2"/>
      <c r="N139" s="2"/>
      <c r="CN139" s="2"/>
    </row>
    <row r="140" spans="1:92" x14ac:dyDescent="0.2">
      <c r="A140" s="2"/>
      <c r="N140" s="2"/>
      <c r="CN140" s="2"/>
    </row>
    <row r="141" spans="1:92" x14ac:dyDescent="0.2">
      <c r="A141" s="2"/>
      <c r="N141" s="2"/>
      <c r="CN141" s="2"/>
    </row>
    <row r="142" spans="1:92" x14ac:dyDescent="0.2">
      <c r="A142" s="2"/>
      <c r="N142" s="2"/>
      <c r="CN142" s="2"/>
    </row>
    <row r="143" spans="1:92" x14ac:dyDescent="0.2">
      <c r="A143" s="2"/>
      <c r="N143" s="2"/>
      <c r="CN143" s="2"/>
    </row>
    <row r="144" spans="1:92" x14ac:dyDescent="0.2">
      <c r="A144" s="2"/>
      <c r="N144" s="2"/>
      <c r="CN144" s="2"/>
    </row>
    <row r="145" spans="1:92" x14ac:dyDescent="0.2">
      <c r="A145" s="2"/>
      <c r="N145" s="2"/>
      <c r="CN145" s="2"/>
    </row>
    <row r="146" spans="1:92" x14ac:dyDescent="0.2">
      <c r="A146" s="2"/>
      <c r="N146" s="2"/>
      <c r="CN146" s="2"/>
    </row>
    <row r="147" spans="1:92" x14ac:dyDescent="0.2">
      <c r="A147" s="2"/>
      <c r="N147" s="2"/>
      <c r="CN147" s="2"/>
    </row>
    <row r="148" spans="1:92" x14ac:dyDescent="0.2">
      <c r="A148" s="2"/>
      <c r="N148" s="2"/>
      <c r="CN148" s="2"/>
    </row>
    <row r="149" spans="1:92" x14ac:dyDescent="0.2">
      <c r="A149" s="2"/>
      <c r="N149" s="2"/>
      <c r="CN149" s="2"/>
    </row>
    <row r="150" spans="1:92" x14ac:dyDescent="0.2">
      <c r="A150" s="2"/>
      <c r="N150" s="2"/>
      <c r="CN150" s="2"/>
    </row>
    <row r="151" spans="1:92" x14ac:dyDescent="0.2">
      <c r="A151" s="2"/>
      <c r="N151" s="2"/>
      <c r="CN151" s="2"/>
    </row>
    <row r="152" spans="1:92" x14ac:dyDescent="0.2">
      <c r="A152" s="2"/>
      <c r="N152" s="2"/>
      <c r="CN152" s="2"/>
    </row>
    <row r="153" spans="1:92" x14ac:dyDescent="0.2">
      <c r="A153" s="2"/>
      <c r="N153" s="2"/>
      <c r="CN153" s="2"/>
    </row>
    <row r="154" spans="1:92" x14ac:dyDescent="0.2">
      <c r="A154" s="2"/>
      <c r="N154" s="2"/>
      <c r="CN154" s="2"/>
    </row>
    <row r="155" spans="1:92" x14ac:dyDescent="0.2">
      <c r="A155" s="2"/>
      <c r="N155" s="2"/>
      <c r="CN155" s="2"/>
    </row>
    <row r="156" spans="1:92" x14ac:dyDescent="0.2">
      <c r="A156" s="2"/>
      <c r="N156" s="2"/>
      <c r="CN156" s="2"/>
    </row>
    <row r="157" spans="1:92" x14ac:dyDescent="0.2">
      <c r="A157" s="2"/>
      <c r="N157" s="2"/>
      <c r="CN157" s="2"/>
    </row>
    <row r="158" spans="1:92" x14ac:dyDescent="0.2">
      <c r="A158" s="2"/>
      <c r="N158" s="2"/>
      <c r="CN158" s="2"/>
    </row>
    <row r="159" spans="1:92" x14ac:dyDescent="0.2">
      <c r="A159" s="2"/>
      <c r="N159" s="2"/>
      <c r="CN159" s="2"/>
    </row>
    <row r="160" spans="1:92" x14ac:dyDescent="0.2">
      <c r="A160" s="2"/>
      <c r="N160" s="2"/>
      <c r="CN160" s="2"/>
    </row>
    <row r="161" spans="1:92" x14ac:dyDescent="0.2">
      <c r="A161" s="2"/>
      <c r="N161" s="2"/>
      <c r="CN161" s="2"/>
    </row>
    <row r="162" spans="1:92" x14ac:dyDescent="0.2">
      <c r="A162" s="2"/>
      <c r="N162" s="2"/>
      <c r="CN162" s="2"/>
    </row>
    <row r="163" spans="1:92" x14ac:dyDescent="0.2">
      <c r="A163" s="2"/>
      <c r="N163" s="2"/>
      <c r="CN163" s="2"/>
    </row>
    <row r="164" spans="1:92" x14ac:dyDescent="0.2">
      <c r="A164" s="2"/>
      <c r="N164" s="2"/>
      <c r="CN164" s="2"/>
    </row>
    <row r="165" spans="1:92" x14ac:dyDescent="0.2">
      <c r="A165" s="2"/>
      <c r="N165" s="2"/>
      <c r="CN165" s="2"/>
    </row>
    <row r="166" spans="1:92" x14ac:dyDescent="0.2">
      <c r="A166" s="2"/>
      <c r="N166" s="2"/>
      <c r="CN166" s="2"/>
    </row>
    <row r="167" spans="1:92" x14ac:dyDescent="0.2">
      <c r="A167" s="2"/>
      <c r="N167" s="2"/>
      <c r="CN167" s="2"/>
    </row>
    <row r="168" spans="1:92" x14ac:dyDescent="0.2">
      <c r="A168" s="2"/>
      <c r="N168" s="2"/>
      <c r="CN168" s="2"/>
    </row>
    <row r="169" spans="1:92" x14ac:dyDescent="0.2">
      <c r="A169" s="2"/>
      <c r="N169" s="2"/>
      <c r="CN169" s="2"/>
    </row>
    <row r="170" spans="1:92" x14ac:dyDescent="0.2">
      <c r="A170" s="2"/>
      <c r="N170" s="2"/>
      <c r="CN170" s="2"/>
    </row>
    <row r="171" spans="1:92" x14ac:dyDescent="0.2">
      <c r="A171" s="2"/>
      <c r="N171" s="2"/>
      <c r="CN171" s="2"/>
    </row>
    <row r="172" spans="1:92" x14ac:dyDescent="0.2">
      <c r="A172" s="2"/>
      <c r="N172" s="2"/>
      <c r="CN172" s="2"/>
    </row>
    <row r="173" spans="1:92" x14ac:dyDescent="0.2">
      <c r="A173" s="2"/>
      <c r="N173" s="2"/>
      <c r="CN173" s="2"/>
    </row>
    <row r="174" spans="1:92" x14ac:dyDescent="0.2">
      <c r="A174" s="2"/>
      <c r="N174" s="2"/>
      <c r="CN174" s="2"/>
    </row>
    <row r="175" spans="1:92" x14ac:dyDescent="0.2">
      <c r="A175" s="2"/>
      <c r="N175" s="2"/>
      <c r="CN175" s="2"/>
    </row>
    <row r="176" spans="1:92" x14ac:dyDescent="0.2">
      <c r="A176" s="2"/>
      <c r="N176" s="2"/>
      <c r="CN176" s="2"/>
    </row>
    <row r="177" spans="1:92" x14ac:dyDescent="0.2">
      <c r="A177" s="2"/>
      <c r="N177" s="2"/>
      <c r="CN177" s="2"/>
    </row>
    <row r="178" spans="1:92" x14ac:dyDescent="0.2">
      <c r="A178" s="2"/>
      <c r="N178" s="2"/>
      <c r="CN178" s="2"/>
    </row>
    <row r="179" spans="1:92" x14ac:dyDescent="0.2">
      <c r="A179" s="2"/>
      <c r="N179" s="2"/>
      <c r="CN179" s="2"/>
    </row>
    <row r="180" spans="1:92" x14ac:dyDescent="0.2">
      <c r="A180" s="2"/>
      <c r="N180" s="2"/>
      <c r="CN180" s="2"/>
    </row>
    <row r="181" spans="1:92" x14ac:dyDescent="0.2">
      <c r="A181" s="2"/>
      <c r="N181" s="2"/>
      <c r="CN181" s="2"/>
    </row>
    <row r="182" spans="1:92" x14ac:dyDescent="0.2">
      <c r="A182" s="2"/>
      <c r="N182" s="2"/>
      <c r="CN182" s="2"/>
    </row>
    <row r="183" spans="1:92" x14ac:dyDescent="0.2">
      <c r="A183" s="2"/>
      <c r="N183" s="2"/>
      <c r="CN183" s="2"/>
    </row>
    <row r="184" spans="1:92" x14ac:dyDescent="0.2">
      <c r="A184" s="2"/>
      <c r="N184" s="2"/>
      <c r="CN184" s="2"/>
    </row>
    <row r="185" spans="1:92" x14ac:dyDescent="0.2">
      <c r="A185" s="2"/>
      <c r="N185" s="2"/>
      <c r="CN185" s="2"/>
    </row>
    <row r="186" spans="1:92" x14ac:dyDescent="0.2">
      <c r="A186" s="2"/>
      <c r="N186" s="2"/>
      <c r="CN186" s="2"/>
    </row>
    <row r="187" spans="1:92" x14ac:dyDescent="0.2">
      <c r="A187" s="2"/>
      <c r="N187" s="2"/>
      <c r="CN187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44B8-0BC1-4511-B41A-0B1BF403C1A8}">
  <sheetPr codeName="Sheet2"/>
  <dimension ref="A1:R954"/>
  <sheetViews>
    <sheetView zoomScale="70" zoomScaleNormal="70" workbookViewId="0">
      <selection activeCell="J9" sqref="J9"/>
    </sheetView>
  </sheetViews>
  <sheetFormatPr defaultRowHeight="14.25" x14ac:dyDescent="0.2"/>
  <cols>
    <col min="1" max="1" width="13" style="2" customWidth="1"/>
    <col min="2" max="2" width="16.75" customWidth="1"/>
    <col min="3" max="3" width="17.25" bestFit="1" customWidth="1"/>
    <col min="4" max="4" width="23.375" bestFit="1" customWidth="1"/>
    <col min="5" max="5" width="20.875" bestFit="1" customWidth="1"/>
    <col min="6" max="6" width="17.875" bestFit="1" customWidth="1"/>
    <col min="7" max="7" width="14.25" customWidth="1"/>
    <col min="8" max="8" width="14.875" customWidth="1"/>
    <col min="9" max="9" width="20.875" style="2" customWidth="1"/>
    <col min="10" max="10" width="24" style="47" customWidth="1"/>
    <col min="11" max="11" width="11.875" bestFit="1" customWidth="1"/>
    <col min="12" max="12" width="12.875" customWidth="1"/>
    <col min="13" max="13" width="20.875" customWidth="1"/>
    <col min="14" max="14" width="17.875" customWidth="1"/>
    <col min="15" max="15" width="13.75" customWidth="1"/>
    <col min="16" max="16" width="17.375" customWidth="1"/>
    <col min="17" max="17" width="19.5" style="2" customWidth="1"/>
    <col min="18" max="18" width="18.875" customWidth="1"/>
  </cols>
  <sheetData>
    <row r="1" spans="1:18" x14ac:dyDescent="0.2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47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442</v>
      </c>
    </row>
    <row r="2" spans="1:18" x14ac:dyDescent="0.2">
      <c r="A2" s="49">
        <v>43381</v>
      </c>
      <c r="B2" s="2" t="s">
        <v>17</v>
      </c>
      <c r="C2" t="s">
        <v>18</v>
      </c>
      <c r="D2" t="s">
        <v>19</v>
      </c>
      <c r="F2" t="s">
        <v>20</v>
      </c>
      <c r="G2" t="s">
        <v>21</v>
      </c>
      <c r="I2" s="49"/>
      <c r="J2" s="47">
        <v>680291651.62</v>
      </c>
      <c r="K2">
        <v>5134580.6500000004</v>
      </c>
      <c r="L2">
        <v>680291651.62</v>
      </c>
      <c r="M2">
        <v>0</v>
      </c>
      <c r="N2">
        <v>0</v>
      </c>
      <c r="O2" t="s">
        <v>22</v>
      </c>
      <c r="P2" t="s">
        <v>23</v>
      </c>
      <c r="Q2" s="49">
        <v>2</v>
      </c>
      <c r="R2" s="49" t="str">
        <f>DataTable[HLD_Portfolio]&amp;DataTable[HLD_Date]</f>
        <v>SCBSFF43381</v>
      </c>
    </row>
    <row r="3" spans="1:18" x14ac:dyDescent="0.2">
      <c r="A3" s="49">
        <v>43381</v>
      </c>
      <c r="B3" t="s">
        <v>17</v>
      </c>
      <c r="C3" t="s">
        <v>18</v>
      </c>
      <c r="D3" t="s">
        <v>19</v>
      </c>
      <c r="F3" t="s">
        <v>25</v>
      </c>
      <c r="G3" t="s">
        <v>26</v>
      </c>
      <c r="H3" t="s">
        <v>27</v>
      </c>
      <c r="I3" s="49"/>
      <c r="J3" s="47">
        <v>0</v>
      </c>
      <c r="L3">
        <v>0</v>
      </c>
      <c r="M3">
        <v>0</v>
      </c>
      <c r="N3">
        <v>0</v>
      </c>
      <c r="O3" t="s">
        <v>22</v>
      </c>
      <c r="P3" t="s">
        <v>28</v>
      </c>
      <c r="Q3" s="49">
        <v>2</v>
      </c>
      <c r="R3" s="49" t="str">
        <f>DataTable[HLD_Portfolio]&amp;DataTable[HLD_Date]</f>
        <v>SCBSFF43381</v>
      </c>
    </row>
    <row r="4" spans="1:18" x14ac:dyDescent="0.2">
      <c r="A4" s="49">
        <v>43381</v>
      </c>
      <c r="B4" t="s">
        <v>17</v>
      </c>
      <c r="C4" t="s">
        <v>18</v>
      </c>
      <c r="D4" t="s">
        <v>19</v>
      </c>
      <c r="F4" t="s">
        <v>30</v>
      </c>
      <c r="G4" t="s">
        <v>26</v>
      </c>
      <c r="H4" t="s">
        <v>27</v>
      </c>
      <c r="I4" s="49"/>
      <c r="J4" s="47">
        <v>0</v>
      </c>
      <c r="L4">
        <v>0</v>
      </c>
      <c r="M4">
        <v>0</v>
      </c>
      <c r="N4">
        <v>0</v>
      </c>
      <c r="O4" t="s">
        <v>22</v>
      </c>
      <c r="P4" t="s">
        <v>31</v>
      </c>
      <c r="Q4" s="49">
        <v>2</v>
      </c>
      <c r="R4" s="49" t="str">
        <f>DataTable[HLD_Portfolio]&amp;DataTable[HLD_Date]</f>
        <v>SCBSFF43381</v>
      </c>
    </row>
    <row r="5" spans="1:18" x14ac:dyDescent="0.2">
      <c r="A5" s="49">
        <v>43381</v>
      </c>
      <c r="B5" t="s">
        <v>17</v>
      </c>
      <c r="C5" t="s">
        <v>18</v>
      </c>
      <c r="D5" t="s">
        <v>19</v>
      </c>
      <c r="F5" t="s">
        <v>32</v>
      </c>
      <c r="G5" t="s">
        <v>26</v>
      </c>
      <c r="H5" t="s">
        <v>27</v>
      </c>
      <c r="I5" s="49"/>
      <c r="J5" s="47">
        <v>0</v>
      </c>
      <c r="L5">
        <v>0</v>
      </c>
      <c r="M5">
        <v>0</v>
      </c>
      <c r="N5">
        <v>0</v>
      </c>
      <c r="O5" t="s">
        <v>22</v>
      </c>
      <c r="P5" t="s">
        <v>33</v>
      </c>
      <c r="Q5" s="49">
        <v>2</v>
      </c>
      <c r="R5" s="49" t="str">
        <f>DataTable[HLD_Portfolio]&amp;DataTable[HLD_Date]</f>
        <v>SCBSFF43381</v>
      </c>
    </row>
    <row r="6" spans="1:18" x14ac:dyDescent="0.2">
      <c r="A6" s="49">
        <v>43381</v>
      </c>
      <c r="B6" t="s">
        <v>17</v>
      </c>
      <c r="C6" t="s">
        <v>18</v>
      </c>
      <c r="D6" t="s">
        <v>19</v>
      </c>
      <c r="F6" t="s">
        <v>34</v>
      </c>
      <c r="G6" t="s">
        <v>26</v>
      </c>
      <c r="H6" t="s">
        <v>27</v>
      </c>
      <c r="I6" s="49"/>
      <c r="J6" s="47">
        <v>342790.48</v>
      </c>
      <c r="K6">
        <v>369.79</v>
      </c>
      <c r="L6">
        <v>342790.48</v>
      </c>
      <c r="M6">
        <v>0</v>
      </c>
      <c r="N6">
        <v>0</v>
      </c>
      <c r="O6" t="s">
        <v>22</v>
      </c>
      <c r="P6" t="s">
        <v>23</v>
      </c>
      <c r="Q6" s="49">
        <v>2</v>
      </c>
      <c r="R6" s="49" t="str">
        <f>DataTable[HLD_Portfolio]&amp;DataTable[HLD_Date]</f>
        <v>SCBSFF43381</v>
      </c>
    </row>
    <row r="7" spans="1:18" x14ac:dyDescent="0.2">
      <c r="A7" s="49">
        <v>43381</v>
      </c>
      <c r="B7" t="s">
        <v>17</v>
      </c>
      <c r="C7" t="s">
        <v>18</v>
      </c>
      <c r="D7" t="s">
        <v>19</v>
      </c>
      <c r="F7" t="s">
        <v>36</v>
      </c>
      <c r="G7" t="s">
        <v>26</v>
      </c>
      <c r="H7" t="s">
        <v>27</v>
      </c>
      <c r="I7" s="49"/>
      <c r="J7" s="47">
        <v>0</v>
      </c>
      <c r="L7">
        <v>0</v>
      </c>
      <c r="M7">
        <v>0</v>
      </c>
      <c r="N7">
        <v>0</v>
      </c>
      <c r="O7" t="s">
        <v>22</v>
      </c>
      <c r="P7" t="s">
        <v>37</v>
      </c>
      <c r="Q7" s="49">
        <v>2</v>
      </c>
      <c r="R7" s="49" t="str">
        <f>DataTable[HLD_Portfolio]&amp;DataTable[HLD_Date]</f>
        <v>SCBSFF43381</v>
      </c>
    </row>
    <row r="8" spans="1:18" x14ac:dyDescent="0.2">
      <c r="A8" s="49">
        <v>43381</v>
      </c>
      <c r="B8" t="s">
        <v>17</v>
      </c>
      <c r="C8" t="s">
        <v>18</v>
      </c>
      <c r="D8" t="s">
        <v>38</v>
      </c>
      <c r="F8" t="s">
        <v>39</v>
      </c>
      <c r="G8" t="s">
        <v>40</v>
      </c>
      <c r="H8" t="s">
        <v>41</v>
      </c>
      <c r="I8" s="49">
        <v>43599</v>
      </c>
      <c r="J8" s="47">
        <v>3000000000</v>
      </c>
      <c r="K8">
        <v>19528767.120000001</v>
      </c>
      <c r="L8">
        <v>3000000000</v>
      </c>
      <c r="M8">
        <v>0.59146900000000002</v>
      </c>
      <c r="N8">
        <v>1.65</v>
      </c>
      <c r="O8" t="s">
        <v>42</v>
      </c>
      <c r="P8" t="s">
        <v>23</v>
      </c>
      <c r="Q8" s="49">
        <v>43238</v>
      </c>
      <c r="R8" s="49" t="str">
        <f>DataTable[HLD_Portfolio]&amp;DataTable[HLD_Date]</f>
        <v>SCBSFF43381</v>
      </c>
    </row>
    <row r="9" spans="1:18" x14ac:dyDescent="0.2">
      <c r="A9" s="49">
        <v>43381</v>
      </c>
      <c r="B9" t="s">
        <v>17</v>
      </c>
      <c r="C9" t="s">
        <v>18</v>
      </c>
      <c r="D9" t="s">
        <v>38</v>
      </c>
      <c r="F9" t="s">
        <v>44</v>
      </c>
      <c r="G9" t="s">
        <v>40</v>
      </c>
      <c r="H9" t="s">
        <v>41</v>
      </c>
      <c r="I9" s="49">
        <v>43627</v>
      </c>
      <c r="J9" s="47">
        <v>370000000</v>
      </c>
      <c r="K9">
        <v>568684.93000000005</v>
      </c>
      <c r="L9">
        <v>370000000</v>
      </c>
      <c r="M9">
        <v>0.66657100000000002</v>
      </c>
      <c r="N9">
        <v>1.65</v>
      </c>
      <c r="O9" t="s">
        <v>42</v>
      </c>
      <c r="P9" t="s">
        <v>23</v>
      </c>
      <c r="Q9" s="49">
        <v>43348</v>
      </c>
      <c r="R9" s="49" t="str">
        <f>DataTable[HLD_Portfolio]&amp;DataTable[HLD_Date]</f>
        <v>SCBSFF43381</v>
      </c>
    </row>
    <row r="10" spans="1:18" x14ac:dyDescent="0.2">
      <c r="A10" s="49">
        <v>43381</v>
      </c>
      <c r="B10" t="s">
        <v>17</v>
      </c>
      <c r="C10" t="s">
        <v>18</v>
      </c>
      <c r="D10" t="s">
        <v>38</v>
      </c>
      <c r="F10" t="s">
        <v>45</v>
      </c>
      <c r="G10" t="s">
        <v>46</v>
      </c>
      <c r="H10" t="s">
        <v>47</v>
      </c>
      <c r="I10" s="49">
        <v>43595</v>
      </c>
      <c r="J10" s="47">
        <v>1893055000</v>
      </c>
      <c r="K10">
        <v>399644.94</v>
      </c>
      <c r="L10">
        <v>1899500000</v>
      </c>
      <c r="M10">
        <v>0.59426800000000002</v>
      </c>
      <c r="N10">
        <v>0.05</v>
      </c>
      <c r="O10" t="s">
        <v>42</v>
      </c>
      <c r="P10" t="s">
        <v>31</v>
      </c>
      <c r="Q10" s="49">
        <v>43230</v>
      </c>
      <c r="R10" s="49" t="str">
        <f>DataTable[HLD_Portfolio]&amp;DataTable[HLD_Date]</f>
        <v>SCBSFF43381</v>
      </c>
    </row>
    <row r="11" spans="1:18" x14ac:dyDescent="0.2">
      <c r="A11" s="49">
        <v>43381</v>
      </c>
      <c r="B11" t="s">
        <v>17</v>
      </c>
      <c r="C11" t="s">
        <v>18</v>
      </c>
      <c r="D11" t="s">
        <v>38</v>
      </c>
      <c r="F11" t="s">
        <v>48</v>
      </c>
      <c r="G11" t="s">
        <v>46</v>
      </c>
      <c r="H11" t="s">
        <v>47</v>
      </c>
      <c r="I11" s="49">
        <v>43580</v>
      </c>
      <c r="J11" s="47">
        <v>989790000</v>
      </c>
      <c r="K11">
        <v>14380823.880000001</v>
      </c>
      <c r="L11">
        <v>946500000</v>
      </c>
      <c r="M11">
        <v>0.54339099999999996</v>
      </c>
      <c r="N11">
        <v>3.17</v>
      </c>
      <c r="O11" t="s">
        <v>42</v>
      </c>
      <c r="P11" t="s">
        <v>37</v>
      </c>
      <c r="Q11" s="49">
        <v>43217</v>
      </c>
      <c r="R11" s="49" t="str">
        <f>DataTable[HLD_Portfolio]&amp;DataTable[HLD_Date]</f>
        <v>SCBSFF43381</v>
      </c>
    </row>
    <row r="12" spans="1:18" x14ac:dyDescent="0.2">
      <c r="A12" s="49">
        <v>43381</v>
      </c>
      <c r="B12" t="s">
        <v>17</v>
      </c>
      <c r="C12" t="s">
        <v>18</v>
      </c>
      <c r="D12" t="s">
        <v>38</v>
      </c>
      <c r="F12" t="s">
        <v>49</v>
      </c>
      <c r="G12" t="s">
        <v>50</v>
      </c>
      <c r="H12" t="s">
        <v>51</v>
      </c>
      <c r="I12" s="49">
        <v>43410</v>
      </c>
      <c r="J12" s="47">
        <v>1154755000</v>
      </c>
      <c r="K12">
        <v>25861524.100000001</v>
      </c>
      <c r="L12">
        <v>1158500000</v>
      </c>
      <c r="M12">
        <v>8.0403000000000002E-2</v>
      </c>
      <c r="N12">
        <v>2.4066999999999998</v>
      </c>
      <c r="O12" t="s">
        <v>42</v>
      </c>
      <c r="P12" t="s">
        <v>37</v>
      </c>
      <c r="Q12" s="49">
        <v>43047</v>
      </c>
      <c r="R12" s="49" t="str">
        <f>DataTable[HLD_Portfolio]&amp;DataTable[HLD_Date]</f>
        <v>SCBSFF43381</v>
      </c>
    </row>
    <row r="13" spans="1:18" x14ac:dyDescent="0.2">
      <c r="A13" s="49">
        <v>43381</v>
      </c>
      <c r="B13" t="s">
        <v>17</v>
      </c>
      <c r="C13" t="s">
        <v>18</v>
      </c>
      <c r="D13" t="s">
        <v>38</v>
      </c>
      <c r="F13" t="s">
        <v>52</v>
      </c>
      <c r="G13" t="s">
        <v>50</v>
      </c>
      <c r="H13" t="s">
        <v>51</v>
      </c>
      <c r="I13" s="49">
        <v>43389</v>
      </c>
      <c r="J13" s="47">
        <v>1649650000</v>
      </c>
      <c r="K13">
        <v>39041716.670000002</v>
      </c>
      <c r="L13">
        <v>1654000000</v>
      </c>
      <c r="M13">
        <v>2.2210000000000001E-2</v>
      </c>
      <c r="N13">
        <v>2.4</v>
      </c>
      <c r="O13" t="s">
        <v>42</v>
      </c>
      <c r="P13" t="s">
        <v>37</v>
      </c>
      <c r="Q13" s="49">
        <v>43027</v>
      </c>
      <c r="R13" s="49" t="str">
        <f>DataTable[HLD_Portfolio]&amp;DataTable[HLD_Date]</f>
        <v>SCBSFF43381</v>
      </c>
    </row>
    <row r="14" spans="1:18" x14ac:dyDescent="0.2">
      <c r="A14" s="49">
        <v>43381</v>
      </c>
      <c r="B14" t="s">
        <v>17</v>
      </c>
      <c r="C14" t="s">
        <v>18</v>
      </c>
      <c r="D14" t="s">
        <v>38</v>
      </c>
      <c r="F14" t="s">
        <v>53</v>
      </c>
      <c r="G14" t="s">
        <v>54</v>
      </c>
      <c r="H14" t="s">
        <v>47</v>
      </c>
      <c r="I14" s="49">
        <v>43559</v>
      </c>
      <c r="J14" s="47">
        <v>2379250000</v>
      </c>
      <c r="K14">
        <v>54425343.75</v>
      </c>
      <c r="L14">
        <v>2477500000</v>
      </c>
      <c r="M14">
        <v>0.48391699999999999</v>
      </c>
      <c r="N14">
        <v>4.5</v>
      </c>
      <c r="O14" t="s">
        <v>42</v>
      </c>
      <c r="P14" t="s">
        <v>28</v>
      </c>
      <c r="Q14" s="49">
        <v>43199</v>
      </c>
      <c r="R14" s="49" t="str">
        <f>DataTable[HLD_Portfolio]&amp;DataTable[HLD_Date]</f>
        <v>SCBSFF43381</v>
      </c>
    </row>
    <row r="15" spans="1:18" x14ac:dyDescent="0.2">
      <c r="A15" s="49">
        <v>43381</v>
      </c>
      <c r="B15" t="s">
        <v>17</v>
      </c>
      <c r="C15" t="s">
        <v>18</v>
      </c>
      <c r="D15" t="s">
        <v>38</v>
      </c>
      <c r="F15" t="s">
        <v>55</v>
      </c>
      <c r="G15" t="s">
        <v>54</v>
      </c>
      <c r="H15" t="s">
        <v>47</v>
      </c>
      <c r="I15" s="49">
        <v>43566</v>
      </c>
      <c r="J15" s="47">
        <v>1903400000</v>
      </c>
      <c r="K15">
        <v>42585931.390000001</v>
      </c>
      <c r="L15">
        <v>1981400000</v>
      </c>
      <c r="M15">
        <v>0.50264500000000001</v>
      </c>
      <c r="N15">
        <v>4.45</v>
      </c>
      <c r="O15" t="s">
        <v>42</v>
      </c>
      <c r="P15" t="s">
        <v>28</v>
      </c>
      <c r="Q15" s="49">
        <v>43201</v>
      </c>
      <c r="R15" s="49" t="str">
        <f>DataTable[HLD_Portfolio]&amp;DataTable[HLD_Date]</f>
        <v>SCBSFF43381</v>
      </c>
    </row>
    <row r="16" spans="1:18" x14ac:dyDescent="0.2">
      <c r="A16" s="49">
        <v>43381</v>
      </c>
      <c r="B16" t="s">
        <v>17</v>
      </c>
      <c r="C16" t="s">
        <v>18</v>
      </c>
      <c r="D16" t="s">
        <v>38</v>
      </c>
      <c r="F16" t="s">
        <v>56</v>
      </c>
      <c r="G16" t="s">
        <v>54</v>
      </c>
      <c r="H16" t="s">
        <v>47</v>
      </c>
      <c r="I16" s="49">
        <v>43580</v>
      </c>
      <c r="J16" s="47">
        <v>2650277000</v>
      </c>
      <c r="K16">
        <v>737660.43</v>
      </c>
      <c r="L16">
        <v>2691500000</v>
      </c>
      <c r="M16">
        <v>0.55259499999999995</v>
      </c>
      <c r="N16">
        <v>0.06</v>
      </c>
      <c r="O16" t="s">
        <v>42</v>
      </c>
      <c r="P16" t="s">
        <v>31</v>
      </c>
      <c r="Q16" s="49">
        <v>43215</v>
      </c>
      <c r="R16" s="49" t="str">
        <f>DataTable[HLD_Portfolio]&amp;DataTable[HLD_Date]</f>
        <v>SCBSFF43381</v>
      </c>
    </row>
    <row r="17" spans="1:18" x14ac:dyDescent="0.2">
      <c r="A17" s="49">
        <v>43381</v>
      </c>
      <c r="B17" t="s">
        <v>17</v>
      </c>
      <c r="C17" t="s">
        <v>18</v>
      </c>
      <c r="D17" t="s">
        <v>38</v>
      </c>
      <c r="F17" t="s">
        <v>57</v>
      </c>
      <c r="G17" t="s">
        <v>58</v>
      </c>
      <c r="H17" t="s">
        <v>59</v>
      </c>
      <c r="I17" s="49">
        <v>43679</v>
      </c>
      <c r="J17" s="47">
        <v>300000000</v>
      </c>
      <c r="K17">
        <v>936164.38</v>
      </c>
      <c r="L17">
        <v>300000000</v>
      </c>
      <c r="M17">
        <v>0.80529600000000001</v>
      </c>
      <c r="N17">
        <v>1.7</v>
      </c>
      <c r="O17" t="s">
        <v>42</v>
      </c>
      <c r="P17" t="s">
        <v>23</v>
      </c>
      <c r="Q17" s="49">
        <v>43315</v>
      </c>
      <c r="R17" s="49" t="str">
        <f>DataTable[HLD_Portfolio]&amp;DataTable[HLD_Date]</f>
        <v>SCBSFF43381</v>
      </c>
    </row>
    <row r="18" spans="1:18" x14ac:dyDescent="0.2">
      <c r="A18" s="49">
        <v>43381</v>
      </c>
      <c r="B18" t="s">
        <v>17</v>
      </c>
      <c r="C18" t="s">
        <v>18</v>
      </c>
      <c r="D18" t="s">
        <v>38</v>
      </c>
      <c r="F18" t="s">
        <v>60</v>
      </c>
      <c r="G18" t="s">
        <v>58</v>
      </c>
      <c r="H18" t="s">
        <v>59</v>
      </c>
      <c r="I18" s="49">
        <v>43683</v>
      </c>
      <c r="J18" s="47">
        <v>650000000</v>
      </c>
      <c r="K18">
        <v>1937534.25</v>
      </c>
      <c r="L18">
        <v>650000000</v>
      </c>
      <c r="M18">
        <v>0.81595399999999996</v>
      </c>
      <c r="N18">
        <v>1.7</v>
      </c>
      <c r="O18" t="s">
        <v>42</v>
      </c>
      <c r="P18" t="s">
        <v>23</v>
      </c>
      <c r="Q18" s="49">
        <v>43318</v>
      </c>
      <c r="R18" s="49" t="str">
        <f>DataTable[HLD_Portfolio]&amp;DataTable[HLD_Date]</f>
        <v>SCBSFF43381</v>
      </c>
    </row>
    <row r="19" spans="1:18" x14ac:dyDescent="0.2">
      <c r="A19" s="49">
        <v>43381</v>
      </c>
      <c r="B19" t="s">
        <v>17</v>
      </c>
      <c r="C19" t="s">
        <v>18</v>
      </c>
      <c r="D19" t="s">
        <v>38</v>
      </c>
      <c r="F19" t="s">
        <v>61</v>
      </c>
      <c r="G19" t="s">
        <v>58</v>
      </c>
      <c r="H19" t="s">
        <v>59</v>
      </c>
      <c r="I19" s="49">
        <v>43686</v>
      </c>
      <c r="J19" s="47">
        <v>150000000</v>
      </c>
      <c r="K19">
        <v>426164.38</v>
      </c>
      <c r="L19">
        <v>150000000</v>
      </c>
      <c r="M19">
        <v>0.82394500000000004</v>
      </c>
      <c r="N19">
        <v>1.7</v>
      </c>
      <c r="O19" t="s">
        <v>42</v>
      </c>
      <c r="P19" t="s">
        <v>23</v>
      </c>
      <c r="Q19" s="49">
        <v>43321</v>
      </c>
      <c r="R19" s="49" t="str">
        <f>DataTable[HLD_Portfolio]&amp;DataTable[HLD_Date]</f>
        <v>SCBSFF43381</v>
      </c>
    </row>
    <row r="20" spans="1:18" x14ac:dyDescent="0.2">
      <c r="A20" s="49">
        <v>43381</v>
      </c>
      <c r="B20" t="s">
        <v>17</v>
      </c>
      <c r="C20" t="s">
        <v>18</v>
      </c>
      <c r="D20" t="s">
        <v>38</v>
      </c>
      <c r="F20" t="s">
        <v>62</v>
      </c>
      <c r="G20" t="s">
        <v>58</v>
      </c>
      <c r="H20" t="s">
        <v>59</v>
      </c>
      <c r="I20" s="49">
        <v>43448</v>
      </c>
      <c r="J20" s="47">
        <v>70000000</v>
      </c>
      <c r="K20">
        <v>917479.45</v>
      </c>
      <c r="L20">
        <v>70000000</v>
      </c>
      <c r="M20">
        <v>0.18302399999999999</v>
      </c>
      <c r="N20">
        <v>1.6</v>
      </c>
      <c r="O20" t="s">
        <v>42</v>
      </c>
      <c r="P20" t="s">
        <v>23</v>
      </c>
      <c r="Q20" s="49">
        <v>43083</v>
      </c>
      <c r="R20" s="49" t="str">
        <f>DataTable[HLD_Portfolio]&amp;DataTable[HLD_Date]</f>
        <v>SCBSFF43381</v>
      </c>
    </row>
    <row r="21" spans="1:18" x14ac:dyDescent="0.2">
      <c r="A21" s="49">
        <v>43381</v>
      </c>
      <c r="B21" t="s">
        <v>17</v>
      </c>
      <c r="C21" t="s">
        <v>18</v>
      </c>
      <c r="D21" t="s">
        <v>38</v>
      </c>
      <c r="F21" t="s">
        <v>63</v>
      </c>
      <c r="G21" t="s">
        <v>58</v>
      </c>
      <c r="H21" t="s">
        <v>59</v>
      </c>
      <c r="I21" s="49">
        <v>43481</v>
      </c>
      <c r="J21" s="47">
        <v>68000000</v>
      </c>
      <c r="K21">
        <v>792898.63</v>
      </c>
      <c r="L21">
        <v>68000000</v>
      </c>
      <c r="M21">
        <v>0.27277699999999999</v>
      </c>
      <c r="N21">
        <v>1.6</v>
      </c>
      <c r="O21" t="s">
        <v>42</v>
      </c>
      <c r="P21" t="s">
        <v>23</v>
      </c>
      <c r="Q21" s="49">
        <v>43116</v>
      </c>
      <c r="R21" s="49" t="str">
        <f>DataTable[HLD_Portfolio]&amp;DataTable[HLD_Date]</f>
        <v>SCBSFF43381</v>
      </c>
    </row>
    <row r="22" spans="1:18" x14ac:dyDescent="0.2">
      <c r="A22" s="49">
        <v>43381</v>
      </c>
      <c r="B22" t="s">
        <v>17</v>
      </c>
      <c r="C22" t="s">
        <v>18</v>
      </c>
      <c r="D22" t="s">
        <v>38</v>
      </c>
      <c r="F22" t="s">
        <v>64</v>
      </c>
      <c r="G22" t="s">
        <v>58</v>
      </c>
      <c r="H22" t="s">
        <v>59</v>
      </c>
      <c r="I22" s="49">
        <v>43482</v>
      </c>
      <c r="J22" s="47">
        <v>200000000</v>
      </c>
      <c r="K22">
        <v>2323287.67</v>
      </c>
      <c r="L22">
        <v>200000000</v>
      </c>
      <c r="M22">
        <v>0.27549299999999999</v>
      </c>
      <c r="N22">
        <v>1.6</v>
      </c>
      <c r="O22" t="s">
        <v>42</v>
      </c>
      <c r="P22" t="s">
        <v>23</v>
      </c>
      <c r="Q22" s="49">
        <v>43117</v>
      </c>
      <c r="R22" s="49" t="str">
        <f>DataTable[HLD_Portfolio]&amp;DataTable[HLD_Date]</f>
        <v>SCBSFF43381</v>
      </c>
    </row>
    <row r="23" spans="1:18" x14ac:dyDescent="0.2">
      <c r="A23" s="49">
        <v>43381</v>
      </c>
      <c r="B23" t="s">
        <v>17</v>
      </c>
      <c r="C23" t="s">
        <v>18</v>
      </c>
      <c r="D23" t="s">
        <v>38</v>
      </c>
      <c r="F23" t="s">
        <v>65</v>
      </c>
      <c r="G23" t="s">
        <v>58</v>
      </c>
      <c r="H23" t="s">
        <v>59</v>
      </c>
      <c r="I23" s="49">
        <v>43483</v>
      </c>
      <c r="J23" s="47">
        <v>157000000</v>
      </c>
      <c r="K23">
        <v>1816898.63</v>
      </c>
      <c r="L23">
        <v>157000000</v>
      </c>
      <c r="M23">
        <v>0.27820800000000001</v>
      </c>
      <c r="N23">
        <v>1.6</v>
      </c>
      <c r="O23" t="s">
        <v>42</v>
      </c>
      <c r="P23" t="s">
        <v>23</v>
      </c>
      <c r="Q23" s="49">
        <v>43118</v>
      </c>
      <c r="R23" s="49" t="str">
        <f>DataTable[HLD_Portfolio]&amp;DataTable[HLD_Date]</f>
        <v>SCBSFF43381</v>
      </c>
    </row>
    <row r="24" spans="1:18" x14ac:dyDescent="0.2">
      <c r="A24" s="49">
        <v>43381</v>
      </c>
      <c r="B24" t="s">
        <v>17</v>
      </c>
      <c r="C24" t="s">
        <v>18</v>
      </c>
      <c r="D24" t="s">
        <v>38</v>
      </c>
      <c r="F24" t="s">
        <v>66</v>
      </c>
      <c r="G24" t="s">
        <v>58</v>
      </c>
      <c r="H24" t="s">
        <v>59</v>
      </c>
      <c r="I24" s="49">
        <v>43486</v>
      </c>
      <c r="J24" s="47">
        <v>300000000</v>
      </c>
      <c r="K24">
        <v>3458630.14</v>
      </c>
      <c r="L24">
        <v>300000000</v>
      </c>
      <c r="M24">
        <v>0.28635300000000002</v>
      </c>
      <c r="N24">
        <v>1.6</v>
      </c>
      <c r="O24" t="s">
        <v>42</v>
      </c>
      <c r="P24" t="s">
        <v>23</v>
      </c>
      <c r="Q24" s="49">
        <v>43119</v>
      </c>
      <c r="R24" s="49" t="str">
        <f>DataTable[HLD_Portfolio]&amp;DataTable[HLD_Date]</f>
        <v>SCBSFF43381</v>
      </c>
    </row>
    <row r="25" spans="1:18" x14ac:dyDescent="0.2">
      <c r="A25" s="49">
        <v>43381</v>
      </c>
      <c r="B25" t="s">
        <v>17</v>
      </c>
      <c r="C25" t="s">
        <v>18</v>
      </c>
      <c r="D25" t="s">
        <v>38</v>
      </c>
      <c r="F25" t="s">
        <v>67</v>
      </c>
      <c r="G25" t="s">
        <v>46</v>
      </c>
      <c r="H25" t="s">
        <v>47</v>
      </c>
      <c r="I25" s="49">
        <v>43389</v>
      </c>
      <c r="J25" s="47">
        <v>1319720000</v>
      </c>
      <c r="K25">
        <v>9168021.5199999996</v>
      </c>
      <c r="L25">
        <v>1326400000</v>
      </c>
      <c r="M25">
        <v>2.2207999999999999E-2</v>
      </c>
      <c r="N25">
        <v>2.81</v>
      </c>
      <c r="O25" t="s">
        <v>42</v>
      </c>
      <c r="P25" t="s">
        <v>37</v>
      </c>
      <c r="Q25" s="49">
        <v>43293</v>
      </c>
      <c r="R25" s="49" t="str">
        <f>DataTable[HLD_Portfolio]&amp;DataTable[HLD_Date]</f>
        <v>SCBSFF43381</v>
      </c>
    </row>
    <row r="26" spans="1:18" x14ac:dyDescent="0.2">
      <c r="A26" s="49">
        <v>43381</v>
      </c>
      <c r="B26" t="s">
        <v>17</v>
      </c>
      <c r="C26" t="s">
        <v>18</v>
      </c>
      <c r="D26" t="s">
        <v>38</v>
      </c>
      <c r="F26" t="s">
        <v>68</v>
      </c>
      <c r="G26" t="s">
        <v>54</v>
      </c>
      <c r="H26" t="s">
        <v>47</v>
      </c>
      <c r="I26" s="49">
        <v>43409</v>
      </c>
      <c r="J26" s="47">
        <v>946527500</v>
      </c>
      <c r="K26">
        <v>167219.85999999999</v>
      </c>
      <c r="L26">
        <v>950000000</v>
      </c>
      <c r="M26">
        <v>7.7774999999999997E-2</v>
      </c>
      <c r="N26">
        <v>0.04</v>
      </c>
      <c r="O26" t="s">
        <v>42</v>
      </c>
      <c r="P26" t="s">
        <v>31</v>
      </c>
      <c r="Q26" s="49">
        <v>43223</v>
      </c>
      <c r="R26" s="49" t="str">
        <f>DataTable[HLD_Portfolio]&amp;DataTable[HLD_Date]</f>
        <v>SCBSFF43381</v>
      </c>
    </row>
    <row r="27" spans="1:18" x14ac:dyDescent="0.2">
      <c r="A27" s="49">
        <v>43381</v>
      </c>
      <c r="B27" t="s">
        <v>17</v>
      </c>
      <c r="C27" t="s">
        <v>18</v>
      </c>
      <c r="D27" t="s">
        <v>38</v>
      </c>
      <c r="F27" t="s">
        <v>69</v>
      </c>
      <c r="G27" t="s">
        <v>54</v>
      </c>
      <c r="H27" t="s">
        <v>47</v>
      </c>
      <c r="I27" s="49">
        <v>43543</v>
      </c>
      <c r="J27" s="47">
        <v>378611000</v>
      </c>
      <c r="K27">
        <v>9991.1200000000008</v>
      </c>
      <c r="L27">
        <v>380000000</v>
      </c>
      <c r="M27">
        <v>0.44989899999999999</v>
      </c>
      <c r="N27">
        <v>0.05</v>
      </c>
      <c r="O27" t="s">
        <v>42</v>
      </c>
      <c r="P27" t="s">
        <v>31</v>
      </c>
      <c r="Q27" s="49">
        <v>43363</v>
      </c>
      <c r="R27" s="49" t="str">
        <f>DataTable[HLD_Portfolio]&amp;DataTable[HLD_Date]</f>
        <v>SCBSFF43381</v>
      </c>
    </row>
    <row r="28" spans="1:18" x14ac:dyDescent="0.2">
      <c r="A28" s="49">
        <v>43381</v>
      </c>
      <c r="B28" t="s">
        <v>17</v>
      </c>
      <c r="C28" t="s">
        <v>18</v>
      </c>
      <c r="D28" t="s">
        <v>38</v>
      </c>
      <c r="F28" t="s">
        <v>70</v>
      </c>
      <c r="G28" t="s">
        <v>71</v>
      </c>
      <c r="H28" t="s">
        <v>47</v>
      </c>
      <c r="I28" s="49">
        <v>44196</v>
      </c>
      <c r="J28" s="47">
        <v>347165.51</v>
      </c>
      <c r="K28">
        <v>756.16</v>
      </c>
      <c r="L28">
        <v>347165.51</v>
      </c>
      <c r="M28">
        <v>0</v>
      </c>
      <c r="N28">
        <v>0</v>
      </c>
      <c r="O28" t="s">
        <v>42</v>
      </c>
      <c r="P28" t="s">
        <v>23</v>
      </c>
      <c r="Q28" s="49">
        <v>42066</v>
      </c>
      <c r="R28" s="49" t="str">
        <f>DataTable[HLD_Portfolio]&amp;DataTable[HLD_Date]</f>
        <v>SCBSFF43381</v>
      </c>
    </row>
    <row r="29" spans="1:18" x14ac:dyDescent="0.2">
      <c r="A29" s="49">
        <v>43381</v>
      </c>
      <c r="B29" t="s">
        <v>17</v>
      </c>
      <c r="C29" t="s">
        <v>18</v>
      </c>
      <c r="D29" t="s">
        <v>38</v>
      </c>
      <c r="F29" t="s">
        <v>72</v>
      </c>
      <c r="G29" t="s">
        <v>73</v>
      </c>
      <c r="H29" t="s">
        <v>27</v>
      </c>
      <c r="I29" s="49">
        <v>44196</v>
      </c>
      <c r="J29" s="47">
        <v>287668.24</v>
      </c>
      <c r="K29">
        <v>295.55</v>
      </c>
      <c r="L29">
        <v>287668.24</v>
      </c>
      <c r="M29">
        <v>0</v>
      </c>
      <c r="N29">
        <v>0</v>
      </c>
      <c r="O29" t="s">
        <v>42</v>
      </c>
      <c r="P29" t="s">
        <v>23</v>
      </c>
      <c r="Q29" s="49">
        <v>39535</v>
      </c>
      <c r="R29" s="49" t="str">
        <f>DataTable[HLD_Portfolio]&amp;DataTable[HLD_Date]</f>
        <v>SCBSFF43381</v>
      </c>
    </row>
    <row r="30" spans="1:18" x14ac:dyDescent="0.2">
      <c r="A30" s="49">
        <v>43381</v>
      </c>
      <c r="B30" t="s">
        <v>17</v>
      </c>
      <c r="C30" t="s">
        <v>18</v>
      </c>
      <c r="D30" t="s">
        <v>38</v>
      </c>
      <c r="F30" t="s">
        <v>74</v>
      </c>
      <c r="G30" t="s">
        <v>75</v>
      </c>
      <c r="H30" t="s">
        <v>59</v>
      </c>
      <c r="I30" s="49">
        <v>44196</v>
      </c>
      <c r="J30" s="47">
        <v>497966.31</v>
      </c>
      <c r="K30">
        <v>1159.6500000000001</v>
      </c>
      <c r="L30">
        <v>497966.31</v>
      </c>
      <c r="M30">
        <v>0</v>
      </c>
      <c r="N30">
        <v>0</v>
      </c>
      <c r="O30" t="s">
        <v>42</v>
      </c>
      <c r="P30" t="s">
        <v>23</v>
      </c>
      <c r="Q30" s="49">
        <v>38594</v>
      </c>
      <c r="R30" s="49" t="str">
        <f>DataTable[HLD_Portfolio]&amp;DataTable[HLD_Date]</f>
        <v>SCBSFF43381</v>
      </c>
    </row>
    <row r="31" spans="1:18" x14ac:dyDescent="0.2">
      <c r="A31" s="49">
        <v>43381</v>
      </c>
      <c r="B31" t="s">
        <v>17</v>
      </c>
      <c r="C31" t="s">
        <v>18</v>
      </c>
      <c r="D31" t="s">
        <v>38</v>
      </c>
      <c r="F31" t="s">
        <v>76</v>
      </c>
      <c r="G31" t="s">
        <v>26</v>
      </c>
      <c r="H31" t="s">
        <v>27</v>
      </c>
      <c r="I31" s="49">
        <v>43468</v>
      </c>
      <c r="J31" s="47">
        <v>1500000000</v>
      </c>
      <c r="K31">
        <v>1171232.8799999999</v>
      </c>
      <c r="L31">
        <v>1500000000</v>
      </c>
      <c r="M31">
        <v>0.237508</v>
      </c>
      <c r="N31">
        <v>1.5</v>
      </c>
      <c r="O31" t="s">
        <v>42</v>
      </c>
      <c r="P31" t="s">
        <v>23</v>
      </c>
      <c r="Q31" s="49">
        <v>43363</v>
      </c>
      <c r="R31" s="49" t="str">
        <f>DataTable[HLD_Portfolio]&amp;DataTable[HLD_Date]</f>
        <v>SCBSFF43381</v>
      </c>
    </row>
    <row r="32" spans="1:18" x14ac:dyDescent="0.2">
      <c r="A32" s="49">
        <v>43381</v>
      </c>
      <c r="B32" t="s">
        <v>17</v>
      </c>
      <c r="C32" t="s">
        <v>18</v>
      </c>
      <c r="D32" t="s">
        <v>77</v>
      </c>
      <c r="F32" t="s">
        <v>78</v>
      </c>
      <c r="G32" t="s">
        <v>79</v>
      </c>
      <c r="H32" t="s">
        <v>27</v>
      </c>
      <c r="I32" s="49">
        <v>43452</v>
      </c>
      <c r="J32" s="47">
        <v>996750320</v>
      </c>
      <c r="L32">
        <v>996750320</v>
      </c>
      <c r="M32">
        <v>0.19115499999999999</v>
      </c>
      <c r="N32">
        <v>1.7</v>
      </c>
      <c r="O32" t="s">
        <v>42</v>
      </c>
      <c r="P32" t="s">
        <v>23</v>
      </c>
      <c r="Q32" s="49">
        <v>43363</v>
      </c>
      <c r="R32" s="49" t="str">
        <f>DataTable[HLD_Portfolio]&amp;DataTable[HLD_Date]</f>
        <v>SCBSFF43381</v>
      </c>
    </row>
    <row r="33" spans="1:18" x14ac:dyDescent="0.2">
      <c r="A33" s="49">
        <v>43381</v>
      </c>
      <c r="B33" t="s">
        <v>17</v>
      </c>
      <c r="C33" t="s">
        <v>18</v>
      </c>
      <c r="D33" t="s">
        <v>77</v>
      </c>
      <c r="F33" t="s">
        <v>80</v>
      </c>
      <c r="G33" t="s">
        <v>81</v>
      </c>
      <c r="H33" t="s">
        <v>51</v>
      </c>
      <c r="I33" s="49">
        <v>43382</v>
      </c>
      <c r="J33" s="47">
        <v>1200000000</v>
      </c>
      <c r="L33">
        <v>1200000000</v>
      </c>
      <c r="M33">
        <v>2.7399999999999998E-3</v>
      </c>
      <c r="N33">
        <v>1.58</v>
      </c>
      <c r="O33" t="s">
        <v>42</v>
      </c>
      <c r="P33" t="s">
        <v>23</v>
      </c>
      <c r="Q33" s="49">
        <v>43320</v>
      </c>
      <c r="R33" s="49" t="str">
        <f>DataTable[HLD_Portfolio]&amp;DataTable[HLD_Date]</f>
        <v>SCBSFF43381</v>
      </c>
    </row>
    <row r="34" spans="1:18" x14ac:dyDescent="0.2">
      <c r="A34" s="49">
        <v>43381</v>
      </c>
      <c r="B34" t="s">
        <v>17</v>
      </c>
      <c r="C34" t="s">
        <v>18</v>
      </c>
      <c r="D34" t="s">
        <v>77</v>
      </c>
      <c r="F34" t="s">
        <v>82</v>
      </c>
      <c r="G34" t="s">
        <v>81</v>
      </c>
      <c r="H34" t="s">
        <v>51</v>
      </c>
      <c r="I34" s="49">
        <v>43382</v>
      </c>
      <c r="J34" s="47">
        <v>500000000</v>
      </c>
      <c r="L34">
        <v>500000000</v>
      </c>
      <c r="M34">
        <v>2.7399999999999998E-3</v>
      </c>
      <c r="N34">
        <v>1.58</v>
      </c>
      <c r="O34" t="s">
        <v>42</v>
      </c>
      <c r="P34" t="s">
        <v>23</v>
      </c>
      <c r="Q34" s="49">
        <v>43321</v>
      </c>
      <c r="R34" s="49" t="str">
        <f>DataTable[HLD_Portfolio]&amp;DataTable[HLD_Date]</f>
        <v>SCBSFF43381</v>
      </c>
    </row>
    <row r="35" spans="1:18" x14ac:dyDescent="0.2">
      <c r="A35" s="49">
        <v>43381</v>
      </c>
      <c r="B35" t="s">
        <v>17</v>
      </c>
      <c r="C35" t="s">
        <v>18</v>
      </c>
      <c r="D35" t="s">
        <v>77</v>
      </c>
      <c r="F35" t="s">
        <v>83</v>
      </c>
      <c r="G35" t="s">
        <v>84</v>
      </c>
      <c r="H35" t="s">
        <v>47</v>
      </c>
      <c r="I35" s="49">
        <v>43514</v>
      </c>
      <c r="J35" s="47">
        <v>149133421.5</v>
      </c>
      <c r="L35">
        <v>149094160.5</v>
      </c>
      <c r="M35">
        <v>0.35955500000000001</v>
      </c>
      <c r="N35">
        <v>1.68</v>
      </c>
      <c r="O35" t="s">
        <v>42</v>
      </c>
      <c r="P35" t="s">
        <v>23</v>
      </c>
      <c r="Q35" s="49">
        <v>43244</v>
      </c>
      <c r="R35" s="49" t="str">
        <f>DataTable[HLD_Portfolio]&amp;DataTable[HLD_Date]</f>
        <v>SCBSFF43381</v>
      </c>
    </row>
    <row r="36" spans="1:18" x14ac:dyDescent="0.2">
      <c r="A36" s="49">
        <v>43381</v>
      </c>
      <c r="B36" t="s">
        <v>17</v>
      </c>
      <c r="C36" t="s">
        <v>18</v>
      </c>
      <c r="D36" t="s">
        <v>85</v>
      </c>
      <c r="F36" t="s">
        <v>86</v>
      </c>
      <c r="G36" t="s">
        <v>87</v>
      </c>
      <c r="H36" t="s">
        <v>29</v>
      </c>
      <c r="I36" s="49">
        <v>43418</v>
      </c>
      <c r="J36" s="47">
        <v>699172488</v>
      </c>
      <c r="L36">
        <v>699172488</v>
      </c>
      <c r="M36">
        <v>9.8512000000000002E-2</v>
      </c>
      <c r="N36">
        <v>1.2</v>
      </c>
      <c r="O36" t="s">
        <v>42</v>
      </c>
      <c r="P36" t="s">
        <v>23</v>
      </c>
      <c r="Q36" s="49">
        <v>43054</v>
      </c>
      <c r="R36" s="49" t="str">
        <f>DataTable[HLD_Portfolio]&amp;DataTable[HLD_Date]</f>
        <v>SCBSFF43381</v>
      </c>
    </row>
    <row r="37" spans="1:18" x14ac:dyDescent="0.2">
      <c r="A37" s="49">
        <v>43381</v>
      </c>
      <c r="B37" t="s">
        <v>17</v>
      </c>
      <c r="C37" t="s">
        <v>18</v>
      </c>
      <c r="D37" t="s">
        <v>85</v>
      </c>
      <c r="F37" t="s">
        <v>88</v>
      </c>
      <c r="G37" t="s">
        <v>87</v>
      </c>
      <c r="H37" t="s">
        <v>29</v>
      </c>
      <c r="I37" s="49">
        <v>43558</v>
      </c>
      <c r="J37" s="47">
        <v>9924279.5999999996</v>
      </c>
      <c r="L37">
        <v>9923440</v>
      </c>
      <c r="M37">
        <v>0.47854099999999999</v>
      </c>
      <c r="N37">
        <v>1.6</v>
      </c>
      <c r="O37" t="s">
        <v>42</v>
      </c>
      <c r="P37" t="s">
        <v>23</v>
      </c>
      <c r="Q37" s="49">
        <v>43194</v>
      </c>
      <c r="R37" s="49" t="str">
        <f>DataTable[HLD_Portfolio]&amp;DataTable[HLD_Date]</f>
        <v>SCBSFF43381</v>
      </c>
    </row>
    <row r="38" spans="1:18" x14ac:dyDescent="0.2">
      <c r="A38" s="49">
        <v>43381</v>
      </c>
      <c r="B38" t="s">
        <v>17</v>
      </c>
      <c r="C38" t="s">
        <v>18</v>
      </c>
      <c r="D38" t="s">
        <v>89</v>
      </c>
      <c r="F38" t="s">
        <v>90</v>
      </c>
      <c r="G38" t="s">
        <v>91</v>
      </c>
      <c r="I38" s="49">
        <v>43440</v>
      </c>
      <c r="J38" s="47">
        <v>3991754040</v>
      </c>
      <c r="L38">
        <v>3991484320</v>
      </c>
      <c r="M38">
        <v>0.158583</v>
      </c>
      <c r="N38">
        <v>1.3426089999999999</v>
      </c>
      <c r="O38" t="s">
        <v>42</v>
      </c>
      <c r="P38" t="s">
        <v>23</v>
      </c>
      <c r="Q38" s="49">
        <v>43349</v>
      </c>
      <c r="R38" s="49" t="str">
        <f>DataTable[HLD_Portfolio]&amp;DataTable[HLD_Date]</f>
        <v>SCBSFF43381</v>
      </c>
    </row>
    <row r="39" spans="1:18" x14ac:dyDescent="0.2">
      <c r="A39" s="49">
        <v>43381</v>
      </c>
      <c r="B39" t="s">
        <v>17</v>
      </c>
      <c r="C39" t="s">
        <v>18</v>
      </c>
      <c r="D39" t="s">
        <v>89</v>
      </c>
      <c r="F39" t="s">
        <v>92</v>
      </c>
      <c r="G39" t="s">
        <v>91</v>
      </c>
      <c r="I39" s="49">
        <v>43447</v>
      </c>
      <c r="J39" s="47">
        <v>5997686291.3000002</v>
      </c>
      <c r="L39">
        <v>5997564288.3000002</v>
      </c>
      <c r="M39">
        <v>0.177673</v>
      </c>
      <c r="N39">
        <v>1.1643289999999999</v>
      </c>
      <c r="O39" t="s">
        <v>42</v>
      </c>
      <c r="P39" t="s">
        <v>23</v>
      </c>
      <c r="Q39" s="49">
        <v>43356</v>
      </c>
      <c r="R39" s="49" t="str">
        <f>DataTable[HLD_Portfolio]&amp;DataTable[HLD_Date]</f>
        <v>SCBSFF43381</v>
      </c>
    </row>
    <row r="40" spans="1:18" x14ac:dyDescent="0.2">
      <c r="A40" s="49">
        <v>43381</v>
      </c>
      <c r="B40" t="s">
        <v>17</v>
      </c>
      <c r="C40" t="s">
        <v>18</v>
      </c>
      <c r="D40" t="s">
        <v>89</v>
      </c>
      <c r="F40" t="s">
        <v>93</v>
      </c>
      <c r="G40" t="s">
        <v>91</v>
      </c>
      <c r="I40" s="49">
        <v>43454</v>
      </c>
      <c r="J40" s="47">
        <v>2493826250</v>
      </c>
      <c r="L40">
        <v>2493227950</v>
      </c>
      <c r="M40">
        <v>0.19673199999999999</v>
      </c>
      <c r="N40">
        <v>1.376952</v>
      </c>
      <c r="O40" t="s">
        <v>42</v>
      </c>
      <c r="P40" t="s">
        <v>23</v>
      </c>
      <c r="Q40" s="49">
        <v>43363</v>
      </c>
      <c r="R40" s="49" t="str">
        <f>DataTable[HLD_Portfolio]&amp;DataTable[HLD_Date]</f>
        <v>SCBSFF43381</v>
      </c>
    </row>
    <row r="41" spans="1:18" x14ac:dyDescent="0.2">
      <c r="A41" s="49">
        <v>43381</v>
      </c>
      <c r="B41" t="s">
        <v>17</v>
      </c>
      <c r="C41" t="s">
        <v>18</v>
      </c>
      <c r="D41" t="s">
        <v>89</v>
      </c>
      <c r="F41" t="s">
        <v>94</v>
      </c>
      <c r="G41" t="s">
        <v>91</v>
      </c>
      <c r="I41" s="49">
        <v>43405</v>
      </c>
      <c r="J41" s="47">
        <v>3657034338.5999999</v>
      </c>
      <c r="L41">
        <v>3657016514.4000001</v>
      </c>
      <c r="M41">
        <v>6.2966999999999995E-2</v>
      </c>
      <c r="N41">
        <v>1.2946709999999999</v>
      </c>
      <c r="O41" t="s">
        <v>42</v>
      </c>
      <c r="P41" t="s">
        <v>23</v>
      </c>
      <c r="Q41" s="49">
        <v>43314</v>
      </c>
      <c r="R41" s="49" t="str">
        <f>DataTable[HLD_Portfolio]&amp;DataTable[HLD_Date]</f>
        <v>SCBSFF43381</v>
      </c>
    </row>
    <row r="42" spans="1:18" x14ac:dyDescent="0.2">
      <c r="A42" s="49">
        <v>43381</v>
      </c>
      <c r="B42" t="s">
        <v>17</v>
      </c>
      <c r="C42" t="s">
        <v>18</v>
      </c>
      <c r="D42" t="s">
        <v>89</v>
      </c>
      <c r="F42" t="s">
        <v>95</v>
      </c>
      <c r="G42" t="s">
        <v>91</v>
      </c>
      <c r="I42" s="49">
        <v>43412</v>
      </c>
      <c r="J42" s="47">
        <v>600457122.71000004</v>
      </c>
      <c r="L42">
        <v>600457122.71000004</v>
      </c>
      <c r="M42">
        <v>8.2113000000000005E-2</v>
      </c>
      <c r="N42">
        <v>1.1000000000000001</v>
      </c>
      <c r="O42" t="s">
        <v>42</v>
      </c>
      <c r="P42" t="s">
        <v>23</v>
      </c>
      <c r="Q42" s="49">
        <v>43230</v>
      </c>
      <c r="R42" s="49" t="str">
        <f>DataTable[HLD_Portfolio]&amp;DataTable[HLD_Date]</f>
        <v>SCBSFF43381</v>
      </c>
    </row>
    <row r="43" spans="1:18" x14ac:dyDescent="0.2">
      <c r="A43" s="49">
        <v>43381</v>
      </c>
      <c r="B43" t="s">
        <v>17</v>
      </c>
      <c r="C43" t="s">
        <v>18</v>
      </c>
      <c r="D43" t="s">
        <v>89</v>
      </c>
      <c r="F43" t="s">
        <v>96</v>
      </c>
      <c r="G43" t="s">
        <v>91</v>
      </c>
      <c r="I43" s="49">
        <v>43412</v>
      </c>
      <c r="J43" s="47">
        <v>3995812600</v>
      </c>
      <c r="L43">
        <v>3995784520</v>
      </c>
      <c r="M43">
        <v>8.2112000000000004E-2</v>
      </c>
      <c r="N43">
        <v>1.2835639999999999</v>
      </c>
      <c r="O43" t="s">
        <v>42</v>
      </c>
      <c r="P43" t="s">
        <v>23</v>
      </c>
      <c r="Q43" s="49">
        <v>43321</v>
      </c>
      <c r="R43" s="49" t="str">
        <f>DataTable[HLD_Portfolio]&amp;DataTable[HLD_Date]</f>
        <v>SCBSFF43381</v>
      </c>
    </row>
    <row r="44" spans="1:18" x14ac:dyDescent="0.2">
      <c r="A44" s="49">
        <v>43381</v>
      </c>
      <c r="B44" t="s">
        <v>17</v>
      </c>
      <c r="C44" t="s">
        <v>18</v>
      </c>
      <c r="D44" t="s">
        <v>89</v>
      </c>
      <c r="F44" t="s">
        <v>97</v>
      </c>
      <c r="G44" t="s">
        <v>91</v>
      </c>
      <c r="I44" s="49">
        <v>43419</v>
      </c>
      <c r="J44" s="47">
        <v>143827927.19999999</v>
      </c>
      <c r="L44">
        <v>143827927.19999999</v>
      </c>
      <c r="M44">
        <v>0.10124900000000001</v>
      </c>
      <c r="N44">
        <v>1.1802079999999999</v>
      </c>
      <c r="O44" t="s">
        <v>42</v>
      </c>
      <c r="P44" t="s">
        <v>23</v>
      </c>
      <c r="Q44" s="49">
        <v>43237</v>
      </c>
      <c r="R44" s="49" t="str">
        <f>DataTable[HLD_Portfolio]&amp;DataTable[HLD_Date]</f>
        <v>SCBSFF43381</v>
      </c>
    </row>
    <row r="45" spans="1:18" x14ac:dyDescent="0.2">
      <c r="A45" s="49">
        <v>43381</v>
      </c>
      <c r="B45" t="s">
        <v>17</v>
      </c>
      <c r="C45" t="s">
        <v>18</v>
      </c>
      <c r="D45" t="s">
        <v>89</v>
      </c>
      <c r="F45" t="s">
        <v>98</v>
      </c>
      <c r="G45" t="s">
        <v>91</v>
      </c>
      <c r="I45" s="49">
        <v>43419</v>
      </c>
      <c r="J45" s="47">
        <v>2496804600</v>
      </c>
      <c r="L45">
        <v>2496801800</v>
      </c>
      <c r="M45">
        <v>0.10125000000000001</v>
      </c>
      <c r="N45">
        <v>1.263611</v>
      </c>
      <c r="O45" t="s">
        <v>42</v>
      </c>
      <c r="P45" t="s">
        <v>23</v>
      </c>
      <c r="Q45" s="49">
        <v>43328</v>
      </c>
      <c r="R45" s="49" t="str">
        <f>DataTable[HLD_Portfolio]&amp;DataTable[HLD_Date]</f>
        <v>SCBSFF43381</v>
      </c>
    </row>
    <row r="46" spans="1:18" x14ac:dyDescent="0.2">
      <c r="A46" s="49">
        <v>43381</v>
      </c>
      <c r="B46" t="s">
        <v>17</v>
      </c>
      <c r="C46" t="s">
        <v>18</v>
      </c>
      <c r="D46" t="s">
        <v>89</v>
      </c>
      <c r="F46" t="s">
        <v>99</v>
      </c>
      <c r="G46" t="s">
        <v>91</v>
      </c>
      <c r="I46" s="49">
        <v>43426</v>
      </c>
      <c r="J46" s="47">
        <v>1048454746.5</v>
      </c>
      <c r="L46">
        <v>1048454746.5</v>
      </c>
      <c r="M46">
        <v>0.120375</v>
      </c>
      <c r="N46">
        <v>1.2226189999999999</v>
      </c>
      <c r="O46" t="s">
        <v>42</v>
      </c>
      <c r="P46" t="s">
        <v>23</v>
      </c>
      <c r="Q46" s="49">
        <v>43244</v>
      </c>
      <c r="R46" s="49" t="str">
        <f>DataTable[HLD_Portfolio]&amp;DataTable[HLD_Date]</f>
        <v>SCBSFF43381</v>
      </c>
    </row>
    <row r="47" spans="1:18" x14ac:dyDescent="0.2">
      <c r="A47" s="49">
        <v>43381</v>
      </c>
      <c r="B47" t="s">
        <v>17</v>
      </c>
      <c r="C47" t="s">
        <v>18</v>
      </c>
      <c r="D47" t="s">
        <v>89</v>
      </c>
      <c r="F47" t="s">
        <v>100</v>
      </c>
      <c r="G47" t="s">
        <v>91</v>
      </c>
      <c r="I47" s="49">
        <v>43426</v>
      </c>
      <c r="J47" s="47">
        <v>3993957640</v>
      </c>
      <c r="L47">
        <v>3993826000</v>
      </c>
      <c r="M47">
        <v>0.120375</v>
      </c>
      <c r="N47">
        <v>1.282381</v>
      </c>
      <c r="O47" t="s">
        <v>42</v>
      </c>
      <c r="P47" t="s">
        <v>23</v>
      </c>
      <c r="Q47" s="49">
        <v>43335</v>
      </c>
      <c r="R47" s="49" t="str">
        <f>DataTable[HLD_Portfolio]&amp;DataTable[HLD_Date]</f>
        <v>SCBSFF43381</v>
      </c>
    </row>
    <row r="48" spans="1:18" x14ac:dyDescent="0.2">
      <c r="A48" s="49">
        <v>43381</v>
      </c>
      <c r="B48" t="s">
        <v>17</v>
      </c>
      <c r="C48" t="s">
        <v>18</v>
      </c>
      <c r="D48" t="s">
        <v>89</v>
      </c>
      <c r="F48" t="s">
        <v>101</v>
      </c>
      <c r="G48" t="s">
        <v>91</v>
      </c>
      <c r="I48" s="49">
        <v>43433</v>
      </c>
      <c r="J48" s="47">
        <v>1445707975.28</v>
      </c>
      <c r="L48">
        <v>1445707975.28</v>
      </c>
      <c r="M48">
        <v>0.13947999999999999</v>
      </c>
      <c r="N48">
        <v>1.1346480000000001</v>
      </c>
      <c r="O48" t="s">
        <v>42</v>
      </c>
      <c r="P48" t="s">
        <v>23</v>
      </c>
      <c r="Q48" s="49">
        <v>43251</v>
      </c>
      <c r="R48" s="49" t="str">
        <f>DataTable[HLD_Portfolio]&amp;DataTable[HLD_Date]</f>
        <v>SCBSFF43381</v>
      </c>
    </row>
    <row r="49" spans="1:18" x14ac:dyDescent="0.2">
      <c r="A49" s="49">
        <v>43381</v>
      </c>
      <c r="B49" t="s">
        <v>17</v>
      </c>
      <c r="C49" t="s">
        <v>18</v>
      </c>
      <c r="D49" t="s">
        <v>89</v>
      </c>
      <c r="F49" t="s">
        <v>102</v>
      </c>
      <c r="G49" t="s">
        <v>91</v>
      </c>
      <c r="I49" s="49">
        <v>43433</v>
      </c>
      <c r="J49" s="47">
        <v>3124804262.5999999</v>
      </c>
      <c r="L49">
        <v>3124582408.1999998</v>
      </c>
      <c r="M49">
        <v>0.13949600000000001</v>
      </c>
      <c r="N49">
        <v>1.240904</v>
      </c>
      <c r="O49" t="s">
        <v>42</v>
      </c>
      <c r="P49" t="s">
        <v>23</v>
      </c>
      <c r="Q49" s="49">
        <v>43342</v>
      </c>
      <c r="R49" s="49" t="str">
        <f>DataTable[HLD_Portfolio]&amp;DataTable[HLD_Date]</f>
        <v>SCBSFF43381</v>
      </c>
    </row>
    <row r="50" spans="1:18" x14ac:dyDescent="0.2">
      <c r="A50" s="49">
        <v>43381</v>
      </c>
      <c r="B50" t="s">
        <v>17</v>
      </c>
      <c r="C50" t="s">
        <v>18</v>
      </c>
      <c r="D50" t="s">
        <v>89</v>
      </c>
      <c r="F50" t="s">
        <v>103</v>
      </c>
      <c r="G50" t="s">
        <v>91</v>
      </c>
      <c r="I50" s="49">
        <v>43382</v>
      </c>
      <c r="J50" s="47">
        <v>1282000000</v>
      </c>
      <c r="L50">
        <v>1282000000</v>
      </c>
      <c r="M50">
        <v>2.7399999999999998E-3</v>
      </c>
      <c r="N50">
        <v>1.1651670000000001</v>
      </c>
      <c r="O50" t="s">
        <v>42</v>
      </c>
      <c r="P50" t="s">
        <v>23</v>
      </c>
      <c r="Q50" s="49">
        <v>43368</v>
      </c>
      <c r="R50" s="49" t="str">
        <f>DataTable[HLD_Portfolio]&amp;DataTable[HLD_Date]</f>
        <v>SCBSFF43381</v>
      </c>
    </row>
    <row r="51" spans="1:18" x14ac:dyDescent="0.2">
      <c r="A51" s="49">
        <v>43381</v>
      </c>
      <c r="B51" t="s">
        <v>17</v>
      </c>
      <c r="C51" t="s">
        <v>18</v>
      </c>
      <c r="D51" t="s">
        <v>89</v>
      </c>
      <c r="F51" t="s">
        <v>104</v>
      </c>
      <c r="G51" t="s">
        <v>91</v>
      </c>
      <c r="I51" s="49">
        <v>43384</v>
      </c>
      <c r="J51" s="47">
        <v>758951416.40999997</v>
      </c>
      <c r="L51">
        <v>758951416.40999997</v>
      </c>
      <c r="M51">
        <v>5.4790000000000004E-3</v>
      </c>
      <c r="N51">
        <v>1.1682079999999999</v>
      </c>
      <c r="O51" t="s">
        <v>42</v>
      </c>
      <c r="P51" t="s">
        <v>23</v>
      </c>
      <c r="Q51" s="49">
        <v>43202</v>
      </c>
      <c r="R51" s="49" t="str">
        <f>DataTable[HLD_Portfolio]&amp;DataTable[HLD_Date]</f>
        <v>SCBSFF43381</v>
      </c>
    </row>
    <row r="52" spans="1:18" x14ac:dyDescent="0.2">
      <c r="A52" s="49">
        <v>43381</v>
      </c>
      <c r="B52" t="s">
        <v>17</v>
      </c>
      <c r="C52" t="s">
        <v>18</v>
      </c>
      <c r="D52" t="s">
        <v>89</v>
      </c>
      <c r="F52" t="s">
        <v>105</v>
      </c>
      <c r="G52" t="s">
        <v>91</v>
      </c>
      <c r="I52" s="49">
        <v>43384</v>
      </c>
      <c r="J52" s="47">
        <v>3860724092.9400001</v>
      </c>
      <c r="L52">
        <v>3860724015.7199998</v>
      </c>
      <c r="M52">
        <v>5.4790000000000004E-3</v>
      </c>
      <c r="N52">
        <v>1.304637</v>
      </c>
      <c r="O52" t="s">
        <v>42</v>
      </c>
      <c r="P52" t="s">
        <v>23</v>
      </c>
      <c r="Q52" s="49">
        <v>43293</v>
      </c>
      <c r="R52" s="49" t="str">
        <f>DataTable[HLD_Portfolio]&amp;DataTable[HLD_Date]</f>
        <v>SCBSFF43381</v>
      </c>
    </row>
    <row r="53" spans="1:18" x14ac:dyDescent="0.2">
      <c r="A53" s="49">
        <v>43381</v>
      </c>
      <c r="B53" t="s">
        <v>17</v>
      </c>
      <c r="C53" t="s">
        <v>18</v>
      </c>
      <c r="D53" t="s">
        <v>89</v>
      </c>
      <c r="F53" t="s">
        <v>106</v>
      </c>
      <c r="G53" t="s">
        <v>91</v>
      </c>
      <c r="I53" s="49">
        <v>43389</v>
      </c>
      <c r="J53" s="47">
        <v>143968524.47999999</v>
      </c>
      <c r="L53">
        <v>143968524.47999999</v>
      </c>
      <c r="M53">
        <v>1.9174E-2</v>
      </c>
      <c r="N53">
        <v>1.1399999999999999</v>
      </c>
      <c r="O53" t="s">
        <v>42</v>
      </c>
      <c r="P53" t="s">
        <v>23</v>
      </c>
      <c r="Q53" s="49">
        <v>43375</v>
      </c>
      <c r="R53" s="49" t="str">
        <f>DataTable[HLD_Portfolio]&amp;DataTable[HLD_Date]</f>
        <v>SCBSFF43381</v>
      </c>
    </row>
    <row r="54" spans="1:18" x14ac:dyDescent="0.2">
      <c r="A54" s="49">
        <v>43381</v>
      </c>
      <c r="B54" t="s">
        <v>17</v>
      </c>
      <c r="C54" t="s">
        <v>18</v>
      </c>
      <c r="D54" t="s">
        <v>89</v>
      </c>
      <c r="F54" t="s">
        <v>107</v>
      </c>
      <c r="G54" t="s">
        <v>91</v>
      </c>
      <c r="I54" s="49">
        <v>43391</v>
      </c>
      <c r="J54" s="47">
        <v>734794383.75</v>
      </c>
      <c r="L54">
        <v>734794383.75</v>
      </c>
      <c r="M54">
        <v>2.4650999999999999E-2</v>
      </c>
      <c r="N54">
        <v>1.134857</v>
      </c>
      <c r="O54" t="s">
        <v>42</v>
      </c>
      <c r="P54" t="s">
        <v>23</v>
      </c>
      <c r="Q54" s="49">
        <v>43209</v>
      </c>
      <c r="R54" s="49" t="str">
        <f>DataTable[HLD_Portfolio]&amp;DataTable[HLD_Date]</f>
        <v>SCBSFF43381</v>
      </c>
    </row>
    <row r="55" spans="1:18" x14ac:dyDescent="0.2">
      <c r="A55" s="49">
        <v>43381</v>
      </c>
      <c r="B55" t="s">
        <v>17</v>
      </c>
      <c r="C55" t="s">
        <v>18</v>
      </c>
      <c r="D55" t="s">
        <v>89</v>
      </c>
      <c r="F55" t="s">
        <v>108</v>
      </c>
      <c r="G55" t="s">
        <v>91</v>
      </c>
      <c r="I55" s="49">
        <v>43391</v>
      </c>
      <c r="J55" s="47">
        <v>2708132713.6500001</v>
      </c>
      <c r="L55">
        <v>2708116351.29</v>
      </c>
      <c r="M55">
        <v>2.4650999999999999E-2</v>
      </c>
      <c r="N55">
        <v>1.3233010000000001</v>
      </c>
      <c r="O55" t="s">
        <v>42</v>
      </c>
      <c r="P55" t="s">
        <v>23</v>
      </c>
      <c r="Q55" s="49">
        <v>43300</v>
      </c>
      <c r="R55" s="49" t="str">
        <f>DataTable[HLD_Portfolio]&amp;DataTable[HLD_Date]</f>
        <v>SCBSFF43381</v>
      </c>
    </row>
    <row r="56" spans="1:18" x14ac:dyDescent="0.2">
      <c r="A56" s="49">
        <v>43381</v>
      </c>
      <c r="B56" t="s">
        <v>17</v>
      </c>
      <c r="C56" t="s">
        <v>18</v>
      </c>
      <c r="D56" t="s">
        <v>89</v>
      </c>
      <c r="F56" t="s">
        <v>388</v>
      </c>
      <c r="G56" t="s">
        <v>91</v>
      </c>
      <c r="I56" s="49">
        <v>43397</v>
      </c>
      <c r="J56" s="47">
        <v>1466314289.8</v>
      </c>
      <c r="L56">
        <v>1466314289.8</v>
      </c>
      <c r="M56">
        <v>4.3836E-2</v>
      </c>
      <c r="N56">
        <v>1.1379349999999999</v>
      </c>
      <c r="O56" t="s">
        <v>42</v>
      </c>
      <c r="P56" t="s">
        <v>23</v>
      </c>
      <c r="Q56" s="49">
        <v>43382</v>
      </c>
      <c r="R56" s="49" t="str">
        <f>DataTable[HLD_Portfolio]&amp;DataTable[HLD_Date]</f>
        <v>SCBSFF43381</v>
      </c>
    </row>
    <row r="57" spans="1:18" x14ac:dyDescent="0.2">
      <c r="A57" s="49">
        <v>43381</v>
      </c>
      <c r="B57" t="s">
        <v>17</v>
      </c>
      <c r="C57" t="s">
        <v>18</v>
      </c>
      <c r="D57" t="s">
        <v>89</v>
      </c>
      <c r="F57" t="s">
        <v>109</v>
      </c>
      <c r="G57" t="s">
        <v>91</v>
      </c>
      <c r="I57" s="49">
        <v>43398</v>
      </c>
      <c r="J57" s="47">
        <v>741619213.01999998</v>
      </c>
      <c r="L57">
        <v>741619213.01999998</v>
      </c>
      <c r="M57">
        <v>4.3813999999999999E-2</v>
      </c>
      <c r="N57">
        <v>1.1713070000000001</v>
      </c>
      <c r="O57" t="s">
        <v>42</v>
      </c>
      <c r="P57" t="s">
        <v>23</v>
      </c>
      <c r="Q57" s="49">
        <v>43216</v>
      </c>
      <c r="R57" s="49" t="str">
        <f>DataTable[HLD_Portfolio]&amp;DataTable[HLD_Date]</f>
        <v>SCBSFF43381</v>
      </c>
    </row>
    <row r="58" spans="1:18" x14ac:dyDescent="0.2">
      <c r="A58" s="49">
        <v>43381</v>
      </c>
      <c r="B58" t="s">
        <v>17</v>
      </c>
      <c r="C58" t="s">
        <v>18</v>
      </c>
      <c r="D58" t="s">
        <v>89</v>
      </c>
      <c r="F58" t="s">
        <v>110</v>
      </c>
      <c r="G58" t="s">
        <v>91</v>
      </c>
      <c r="I58" s="49">
        <v>43398</v>
      </c>
      <c r="J58" s="47">
        <v>3596045314.54</v>
      </c>
      <c r="L58">
        <v>3595978643.5999999</v>
      </c>
      <c r="M58">
        <v>4.3812999999999998E-2</v>
      </c>
      <c r="N58">
        <v>1.2823359999999999</v>
      </c>
      <c r="O58" t="s">
        <v>42</v>
      </c>
      <c r="P58" t="s">
        <v>23</v>
      </c>
      <c r="Q58" s="49">
        <v>43307</v>
      </c>
      <c r="R58" s="49" t="str">
        <f>DataTable[HLD_Portfolio]&amp;DataTable[HLD_Date]</f>
        <v>SCBSFF43381</v>
      </c>
    </row>
    <row r="59" spans="1:18" x14ac:dyDescent="0.2">
      <c r="A59" s="49">
        <v>43381</v>
      </c>
      <c r="B59" t="s">
        <v>17</v>
      </c>
      <c r="C59" t="s">
        <v>18</v>
      </c>
      <c r="D59" t="s">
        <v>89</v>
      </c>
      <c r="F59" t="s">
        <v>111</v>
      </c>
      <c r="G59" t="s">
        <v>91</v>
      </c>
      <c r="I59" s="49">
        <v>43468</v>
      </c>
      <c r="J59" s="47">
        <v>2989645170</v>
      </c>
      <c r="L59">
        <v>2989501680</v>
      </c>
      <c r="M59">
        <v>0.23480300000000001</v>
      </c>
      <c r="N59">
        <v>1.490442</v>
      </c>
      <c r="O59" t="s">
        <v>42</v>
      </c>
      <c r="P59" t="s">
        <v>23</v>
      </c>
      <c r="Q59" s="49">
        <v>43377</v>
      </c>
      <c r="R59" s="49" t="str">
        <f>DataTable[HLD_Portfolio]&amp;DataTable[HLD_Date]</f>
        <v>SCBSFF43381</v>
      </c>
    </row>
    <row r="60" spans="1:18" x14ac:dyDescent="0.2">
      <c r="A60" s="49">
        <v>43381</v>
      </c>
      <c r="B60" t="s">
        <v>17</v>
      </c>
      <c r="C60" t="s">
        <v>18</v>
      </c>
      <c r="D60" t="s">
        <v>112</v>
      </c>
      <c r="F60" t="s">
        <v>113</v>
      </c>
      <c r="G60" t="s">
        <v>114</v>
      </c>
      <c r="H60" t="s">
        <v>51</v>
      </c>
      <c r="I60" s="49">
        <v>43404</v>
      </c>
      <c r="J60" s="47">
        <v>100171824</v>
      </c>
      <c r="K60">
        <v>2086027</v>
      </c>
      <c r="L60">
        <v>100171824</v>
      </c>
      <c r="M60">
        <v>5.9806999999999999E-2</v>
      </c>
      <c r="N60">
        <v>1.5</v>
      </c>
      <c r="O60" t="s">
        <v>42</v>
      </c>
      <c r="P60" t="s">
        <v>23</v>
      </c>
      <c r="Q60" s="49">
        <v>41578</v>
      </c>
      <c r="R60" s="49" t="str">
        <f>DataTable[HLD_Portfolio]&amp;DataTable[HLD_Date]</f>
        <v>SCBSFF43381</v>
      </c>
    </row>
    <row r="61" spans="1:18" x14ac:dyDescent="0.2">
      <c r="A61" s="49">
        <v>43381</v>
      </c>
      <c r="B61" t="s">
        <v>17</v>
      </c>
      <c r="C61" t="s">
        <v>116</v>
      </c>
      <c r="D61" t="s">
        <v>117</v>
      </c>
      <c r="F61" t="s">
        <v>118</v>
      </c>
      <c r="G61" t="s">
        <v>26</v>
      </c>
      <c r="H61" t="s">
        <v>27</v>
      </c>
      <c r="I61" s="49">
        <v>43559</v>
      </c>
      <c r="J61" s="47">
        <v>68615483.75</v>
      </c>
      <c r="L61">
        <v>0</v>
      </c>
      <c r="M61">
        <v>0</v>
      </c>
      <c r="N61">
        <v>0</v>
      </c>
      <c r="O61" t="s">
        <v>119</v>
      </c>
      <c r="P61" t="s">
        <v>23</v>
      </c>
      <c r="Q61" s="49">
        <v>2</v>
      </c>
      <c r="R61" s="49" t="str">
        <f>DataTable[HLD_Portfolio]&amp;DataTable[HLD_Date]</f>
        <v>SCBSFF43381</v>
      </c>
    </row>
    <row r="62" spans="1:18" x14ac:dyDescent="0.2">
      <c r="A62" s="49">
        <v>43381</v>
      </c>
      <c r="B62" t="s">
        <v>17</v>
      </c>
      <c r="C62" t="s">
        <v>116</v>
      </c>
      <c r="D62" t="s">
        <v>117</v>
      </c>
      <c r="F62" t="s">
        <v>120</v>
      </c>
      <c r="G62" t="s">
        <v>26</v>
      </c>
      <c r="H62" t="s">
        <v>27</v>
      </c>
      <c r="I62" s="49">
        <v>43566</v>
      </c>
      <c r="J62" s="47">
        <v>55398701.619999997</v>
      </c>
      <c r="L62">
        <v>0</v>
      </c>
      <c r="M62">
        <v>0</v>
      </c>
      <c r="N62">
        <v>0</v>
      </c>
      <c r="O62" t="s">
        <v>119</v>
      </c>
      <c r="P62" t="s">
        <v>23</v>
      </c>
      <c r="Q62" s="49">
        <v>2</v>
      </c>
      <c r="R62" s="49" t="str">
        <f>DataTable[HLD_Portfolio]&amp;DataTable[HLD_Date]</f>
        <v>SCBSFF43381</v>
      </c>
    </row>
    <row r="63" spans="1:18" x14ac:dyDescent="0.2">
      <c r="A63" s="49">
        <v>43381</v>
      </c>
      <c r="B63" t="s">
        <v>17</v>
      </c>
      <c r="C63" t="s">
        <v>116</v>
      </c>
      <c r="D63" t="s">
        <v>117</v>
      </c>
      <c r="F63" t="s">
        <v>121</v>
      </c>
      <c r="G63" t="s">
        <v>26</v>
      </c>
      <c r="H63" t="s">
        <v>27</v>
      </c>
      <c r="I63" s="49">
        <v>43409</v>
      </c>
      <c r="J63" s="47">
        <v>10138062.51</v>
      </c>
      <c r="L63">
        <v>0</v>
      </c>
      <c r="M63">
        <v>0</v>
      </c>
      <c r="N63">
        <v>0</v>
      </c>
      <c r="O63" t="s">
        <v>119</v>
      </c>
      <c r="P63" t="s">
        <v>23</v>
      </c>
      <c r="Q63" s="49">
        <v>2</v>
      </c>
      <c r="R63" s="49" t="str">
        <f>DataTable[HLD_Portfolio]&amp;DataTable[HLD_Date]</f>
        <v>SCBSFF43381</v>
      </c>
    </row>
    <row r="64" spans="1:18" x14ac:dyDescent="0.2">
      <c r="A64" s="49">
        <v>43381</v>
      </c>
      <c r="B64" t="s">
        <v>17</v>
      </c>
      <c r="C64" t="s">
        <v>116</v>
      </c>
      <c r="D64" t="s">
        <v>117</v>
      </c>
      <c r="F64" t="s">
        <v>122</v>
      </c>
      <c r="G64" t="s">
        <v>26</v>
      </c>
      <c r="H64" t="s">
        <v>27</v>
      </c>
      <c r="I64" s="49">
        <v>43543</v>
      </c>
      <c r="J64" s="47">
        <v>1761523.6</v>
      </c>
      <c r="L64">
        <v>0</v>
      </c>
      <c r="M64">
        <v>0</v>
      </c>
      <c r="N64">
        <v>0</v>
      </c>
      <c r="O64" t="s">
        <v>119</v>
      </c>
      <c r="P64" t="s">
        <v>23</v>
      </c>
      <c r="Q64" s="49">
        <v>2</v>
      </c>
      <c r="R64" s="49" t="str">
        <f>DataTable[HLD_Portfolio]&amp;DataTable[HLD_Date]</f>
        <v>SCBSFF43381</v>
      </c>
    </row>
    <row r="65" spans="1:18" x14ac:dyDescent="0.2">
      <c r="A65" s="49">
        <v>43381</v>
      </c>
      <c r="B65" t="s">
        <v>17</v>
      </c>
      <c r="C65" t="s">
        <v>116</v>
      </c>
      <c r="D65" t="s">
        <v>117</v>
      </c>
      <c r="F65" t="s">
        <v>123</v>
      </c>
      <c r="G65" t="s">
        <v>26</v>
      </c>
      <c r="H65" t="s">
        <v>27</v>
      </c>
      <c r="I65" s="49">
        <v>43580</v>
      </c>
      <c r="J65" s="47">
        <v>62139438.780000001</v>
      </c>
      <c r="L65">
        <v>0</v>
      </c>
      <c r="M65">
        <v>0</v>
      </c>
      <c r="N65">
        <v>0</v>
      </c>
      <c r="O65" t="s">
        <v>119</v>
      </c>
      <c r="P65" t="s">
        <v>23</v>
      </c>
      <c r="Q65" s="49">
        <v>2</v>
      </c>
      <c r="R65" s="49" t="str">
        <f>DataTable[HLD_Portfolio]&amp;DataTable[HLD_Date]</f>
        <v>SCBSFF43381</v>
      </c>
    </row>
    <row r="66" spans="1:18" x14ac:dyDescent="0.2">
      <c r="A66" s="49">
        <v>43381</v>
      </c>
      <c r="B66" t="s">
        <v>17</v>
      </c>
      <c r="C66" t="s">
        <v>116</v>
      </c>
      <c r="D66" t="s">
        <v>117</v>
      </c>
      <c r="F66" t="s">
        <v>124</v>
      </c>
      <c r="G66" t="s">
        <v>125</v>
      </c>
      <c r="H66" t="s">
        <v>126</v>
      </c>
      <c r="I66" s="49">
        <v>43595</v>
      </c>
      <c r="J66" s="47">
        <v>20035207.940000001</v>
      </c>
      <c r="L66">
        <v>0</v>
      </c>
      <c r="M66">
        <v>0</v>
      </c>
      <c r="N66">
        <v>0</v>
      </c>
      <c r="O66" t="s">
        <v>119</v>
      </c>
      <c r="P66" t="s">
        <v>23</v>
      </c>
      <c r="Q66" s="49">
        <v>2</v>
      </c>
      <c r="R66" s="49" t="str">
        <f>DataTable[HLD_Portfolio]&amp;DataTable[HLD_Date]</f>
        <v>SCBSFF43381</v>
      </c>
    </row>
    <row r="67" spans="1:18" x14ac:dyDescent="0.2">
      <c r="A67" s="49">
        <v>43381</v>
      </c>
      <c r="B67" t="s">
        <v>17</v>
      </c>
      <c r="C67" t="s">
        <v>116</v>
      </c>
      <c r="D67" t="s">
        <v>117</v>
      </c>
      <c r="F67" t="s">
        <v>127</v>
      </c>
      <c r="G67" t="s">
        <v>125</v>
      </c>
      <c r="H67" t="s">
        <v>126</v>
      </c>
      <c r="I67" s="49">
        <v>43410</v>
      </c>
      <c r="J67" s="47">
        <v>-713185.09</v>
      </c>
      <c r="L67">
        <v>0</v>
      </c>
      <c r="M67">
        <v>0</v>
      </c>
      <c r="N67">
        <v>0</v>
      </c>
      <c r="O67" t="s">
        <v>119</v>
      </c>
      <c r="P67" t="s">
        <v>23</v>
      </c>
      <c r="Q67" s="49">
        <v>2</v>
      </c>
      <c r="R67" s="49" t="str">
        <f>DataTable[HLD_Portfolio]&amp;DataTable[HLD_Date]</f>
        <v>SCBSFF43381</v>
      </c>
    </row>
    <row r="68" spans="1:18" x14ac:dyDescent="0.2">
      <c r="A68" s="49">
        <v>43381</v>
      </c>
      <c r="B68" t="s">
        <v>17</v>
      </c>
      <c r="C68" t="s">
        <v>116</v>
      </c>
      <c r="D68" t="s">
        <v>117</v>
      </c>
      <c r="F68" t="s">
        <v>128</v>
      </c>
      <c r="G68" t="s">
        <v>26</v>
      </c>
      <c r="H68" t="s">
        <v>27</v>
      </c>
      <c r="I68" s="49">
        <v>43389</v>
      </c>
      <c r="J68" s="47">
        <v>-1847188.55</v>
      </c>
      <c r="L68">
        <v>0</v>
      </c>
      <c r="M68">
        <v>0</v>
      </c>
      <c r="N68">
        <v>0</v>
      </c>
      <c r="O68" t="s">
        <v>119</v>
      </c>
      <c r="P68" t="s">
        <v>23</v>
      </c>
      <c r="Q68" s="49">
        <v>2</v>
      </c>
      <c r="R68" s="49" t="str">
        <f>DataTable[HLD_Portfolio]&amp;DataTable[HLD_Date]</f>
        <v>SCBSFF43381</v>
      </c>
    </row>
    <row r="69" spans="1:18" x14ac:dyDescent="0.2">
      <c r="A69" s="49">
        <v>43381</v>
      </c>
      <c r="B69" t="s">
        <v>17</v>
      </c>
      <c r="C69" t="s">
        <v>116</v>
      </c>
      <c r="D69" t="s">
        <v>117</v>
      </c>
      <c r="F69" t="s">
        <v>129</v>
      </c>
      <c r="G69" t="s">
        <v>26</v>
      </c>
      <c r="H69" t="s">
        <v>27</v>
      </c>
      <c r="I69" s="49">
        <v>43389</v>
      </c>
      <c r="J69" s="47">
        <v>3150851.44</v>
      </c>
      <c r="L69">
        <v>0</v>
      </c>
      <c r="M69">
        <v>0</v>
      </c>
      <c r="N69">
        <v>0</v>
      </c>
      <c r="O69" t="s">
        <v>119</v>
      </c>
      <c r="P69" t="s">
        <v>23</v>
      </c>
      <c r="Q69" s="49">
        <v>2</v>
      </c>
      <c r="R69" s="49" t="str">
        <f>DataTable[HLD_Portfolio]&amp;DataTable[HLD_Date]</f>
        <v>SCBSFF43381</v>
      </c>
    </row>
    <row r="70" spans="1:18" x14ac:dyDescent="0.2">
      <c r="A70" s="49">
        <v>43381</v>
      </c>
      <c r="B70" t="s">
        <v>17</v>
      </c>
      <c r="C70" t="s">
        <v>116</v>
      </c>
      <c r="D70" t="s">
        <v>117</v>
      </c>
      <c r="F70" t="s">
        <v>130</v>
      </c>
      <c r="G70" t="s">
        <v>26</v>
      </c>
      <c r="H70" t="s">
        <v>27</v>
      </c>
      <c r="I70" s="49">
        <v>43580</v>
      </c>
      <c r="J70" s="47">
        <v>-50675538.549999997</v>
      </c>
      <c r="L70">
        <v>0</v>
      </c>
      <c r="M70">
        <v>0</v>
      </c>
      <c r="N70">
        <v>0</v>
      </c>
      <c r="O70" t="s">
        <v>119</v>
      </c>
      <c r="P70" t="s">
        <v>23</v>
      </c>
      <c r="Q70" s="49">
        <v>2</v>
      </c>
      <c r="R70" s="49" t="str">
        <f>DataTable[HLD_Portfolio]&amp;DataTable[HLD_Date]</f>
        <v>SCBSFF43381</v>
      </c>
    </row>
    <row r="71" spans="1:18" x14ac:dyDescent="0.2">
      <c r="A71" s="49">
        <v>43381</v>
      </c>
      <c r="B71" t="s">
        <v>17</v>
      </c>
      <c r="C71" t="s">
        <v>131</v>
      </c>
      <c r="D71" t="s">
        <v>310</v>
      </c>
      <c r="E71" t="s">
        <v>389</v>
      </c>
      <c r="F71" t="s">
        <v>20</v>
      </c>
      <c r="I71" s="49"/>
      <c r="J71" s="47">
        <v>16978330.350000001</v>
      </c>
      <c r="L71">
        <v>16978330.350000001</v>
      </c>
      <c r="M71">
        <v>0</v>
      </c>
      <c r="N71">
        <v>0</v>
      </c>
      <c r="O71" t="s">
        <v>22</v>
      </c>
      <c r="P71" t="s">
        <v>23</v>
      </c>
      <c r="Q71" s="49">
        <v>2</v>
      </c>
      <c r="R71" s="49" t="str">
        <f>DataTable[HLD_Portfolio]&amp;DataTable[HLD_Date]</f>
        <v>SCBSFF43381</v>
      </c>
    </row>
    <row r="72" spans="1:18" x14ac:dyDescent="0.2">
      <c r="A72" s="49">
        <v>43381</v>
      </c>
      <c r="B72" t="s">
        <v>17</v>
      </c>
      <c r="C72" t="s">
        <v>132</v>
      </c>
      <c r="D72" t="s">
        <v>133</v>
      </c>
      <c r="E72" t="s">
        <v>389</v>
      </c>
      <c r="F72" t="s">
        <v>388</v>
      </c>
      <c r="I72" s="49"/>
      <c r="J72" s="47">
        <v>-1466314289.8</v>
      </c>
      <c r="L72">
        <v>-1466314289.8</v>
      </c>
      <c r="N72">
        <v>0</v>
      </c>
      <c r="O72" t="s">
        <v>42</v>
      </c>
      <c r="P72" t="s">
        <v>23</v>
      </c>
      <c r="Q72" s="49">
        <v>43382</v>
      </c>
      <c r="R72" s="49" t="str">
        <f>DataTable[HLD_Portfolio]&amp;DataTable[HLD_Date]</f>
        <v>SCBSFF43381</v>
      </c>
    </row>
    <row r="73" spans="1:18" x14ac:dyDescent="0.2">
      <c r="A73" s="49">
        <v>43381</v>
      </c>
      <c r="B73" t="s">
        <v>17</v>
      </c>
      <c r="C73" t="s">
        <v>132</v>
      </c>
      <c r="D73" t="s">
        <v>134</v>
      </c>
      <c r="E73" t="s">
        <v>134</v>
      </c>
      <c r="F73" t="s">
        <v>134</v>
      </c>
      <c r="I73" s="49"/>
      <c r="J73" s="47">
        <v>-183014</v>
      </c>
      <c r="N73">
        <v>0</v>
      </c>
      <c r="Q73" s="49"/>
      <c r="R73" s="49" t="str">
        <f>DataTable[HLD_Portfolio]&amp;DataTable[HLD_Date]</f>
        <v>SCBSFF43381</v>
      </c>
    </row>
    <row r="74" spans="1:18" x14ac:dyDescent="0.2">
      <c r="A74" s="49">
        <v>43381</v>
      </c>
      <c r="B74" t="s">
        <v>17</v>
      </c>
      <c r="C74" t="s">
        <v>132</v>
      </c>
      <c r="D74" t="s">
        <v>134</v>
      </c>
      <c r="E74" t="s">
        <v>134</v>
      </c>
      <c r="F74" t="s">
        <v>134</v>
      </c>
      <c r="I74" s="49"/>
      <c r="J74" s="47">
        <v>-1239.24</v>
      </c>
      <c r="N74">
        <v>0</v>
      </c>
      <c r="Q74" s="49"/>
      <c r="R74" s="49" t="str">
        <f>DataTable[HLD_Portfolio]&amp;DataTable[HLD_Date]</f>
        <v>SCBSFF43381</v>
      </c>
    </row>
    <row r="75" spans="1:18" x14ac:dyDescent="0.2">
      <c r="A75" s="49">
        <v>43381</v>
      </c>
      <c r="B75" t="s">
        <v>17</v>
      </c>
      <c r="C75" t="s">
        <v>132</v>
      </c>
      <c r="D75" t="s">
        <v>135</v>
      </c>
      <c r="I75" s="49"/>
      <c r="J75" s="47">
        <v>-1538751.35</v>
      </c>
      <c r="K75">
        <v>0</v>
      </c>
      <c r="N75">
        <v>0</v>
      </c>
      <c r="Q75" s="49"/>
      <c r="R75" s="49" t="str">
        <f>DataTable[HLD_Portfolio]&amp;DataTable[HLD_Date]</f>
        <v>SCBSFF43381</v>
      </c>
    </row>
    <row r="76" spans="1:18" x14ac:dyDescent="0.2">
      <c r="A76" s="49">
        <v>43381</v>
      </c>
      <c r="B76" t="s">
        <v>17</v>
      </c>
      <c r="C76" t="s">
        <v>132</v>
      </c>
      <c r="D76" t="s">
        <v>136</v>
      </c>
      <c r="E76" t="s">
        <v>136</v>
      </c>
      <c r="F76" t="s">
        <v>136</v>
      </c>
      <c r="I76" s="49"/>
      <c r="J76" s="47">
        <v>-4182.17</v>
      </c>
      <c r="N76">
        <v>0</v>
      </c>
      <c r="Q76" s="49"/>
      <c r="R76" s="49" t="str">
        <f>DataTable[HLD_Portfolio]&amp;DataTable[HLD_Date]</f>
        <v>SCBSFF43381</v>
      </c>
    </row>
    <row r="77" spans="1:18" x14ac:dyDescent="0.2">
      <c r="A77" s="49">
        <v>43381</v>
      </c>
      <c r="B77" t="s">
        <v>17</v>
      </c>
      <c r="C77" t="s">
        <v>132</v>
      </c>
      <c r="D77" t="s">
        <v>136</v>
      </c>
      <c r="E77" t="s">
        <v>136</v>
      </c>
      <c r="F77" t="s">
        <v>136</v>
      </c>
      <c r="I77" s="49"/>
      <c r="J77" s="47">
        <v>-1133.2</v>
      </c>
      <c r="N77">
        <v>0</v>
      </c>
      <c r="Q77" s="49"/>
      <c r="R77" s="49" t="str">
        <f>DataTable[HLD_Portfolio]&amp;DataTable[HLD_Date]</f>
        <v>SCBSFF43381</v>
      </c>
    </row>
    <row r="78" spans="1:18" x14ac:dyDescent="0.2">
      <c r="A78" s="49">
        <v>43381</v>
      </c>
      <c r="B78" t="s">
        <v>17</v>
      </c>
      <c r="C78" t="s">
        <v>132</v>
      </c>
      <c r="D78" t="s">
        <v>137</v>
      </c>
      <c r="E78" t="s">
        <v>137</v>
      </c>
      <c r="I78" s="49"/>
      <c r="J78" s="47">
        <v>-110768.71</v>
      </c>
      <c r="L78">
        <v>-110768.71</v>
      </c>
      <c r="N78">
        <v>0</v>
      </c>
      <c r="Q78" s="49"/>
      <c r="R78" s="49" t="str">
        <f>DataTable[HLD_Portfolio]&amp;DataTable[HLD_Date]</f>
        <v>SCBSFF43381</v>
      </c>
    </row>
    <row r="79" spans="1:18" x14ac:dyDescent="0.2">
      <c r="A79" s="49">
        <v>43381</v>
      </c>
      <c r="B79" t="s">
        <v>17</v>
      </c>
      <c r="C79" t="s">
        <v>132</v>
      </c>
      <c r="D79" t="s">
        <v>138</v>
      </c>
      <c r="E79" t="s">
        <v>138</v>
      </c>
      <c r="I79" s="49"/>
      <c r="J79" s="47">
        <v>-8626449.8200000003</v>
      </c>
      <c r="L79">
        <v>-8626449.8200000003</v>
      </c>
      <c r="N79">
        <v>0</v>
      </c>
      <c r="Q79" s="49"/>
      <c r="R79" s="49" t="str">
        <f>DataTable[HLD_Portfolio]&amp;DataTable[HLD_Date]</f>
        <v>SCBSFF43381</v>
      </c>
    </row>
    <row r="80" spans="1:18" x14ac:dyDescent="0.2">
      <c r="A80" s="49">
        <v>43381</v>
      </c>
      <c r="B80" t="s">
        <v>17</v>
      </c>
      <c r="C80" t="s">
        <v>132</v>
      </c>
      <c r="D80" t="s">
        <v>139</v>
      </c>
      <c r="E80" t="s">
        <v>139</v>
      </c>
      <c r="I80" s="49"/>
      <c r="J80" s="47">
        <v>0</v>
      </c>
      <c r="L80">
        <v>0</v>
      </c>
      <c r="N80">
        <v>0</v>
      </c>
      <c r="Q80" s="49"/>
      <c r="R80" s="49" t="str">
        <f>DataTable[HLD_Portfolio]&amp;DataTable[HLD_Date]</f>
        <v>SCBSFF43381</v>
      </c>
    </row>
    <row r="81" spans="1:18" x14ac:dyDescent="0.2">
      <c r="A81" s="49">
        <v>43381</v>
      </c>
      <c r="B81" t="s">
        <v>17</v>
      </c>
      <c r="C81" t="s">
        <v>140</v>
      </c>
      <c r="D81" t="s">
        <v>137</v>
      </c>
      <c r="E81" t="s">
        <v>137</v>
      </c>
      <c r="I81" s="49"/>
      <c r="J81" s="47">
        <v>-67344.36</v>
      </c>
      <c r="L81">
        <v>-67344.36</v>
      </c>
      <c r="N81">
        <v>0</v>
      </c>
      <c r="Q81" s="49"/>
      <c r="R81" s="49" t="str">
        <f>DataTable[HLD_Portfolio]&amp;DataTable[HLD_Date]</f>
        <v>SCBSFF43381</v>
      </c>
    </row>
    <row r="82" spans="1:18" x14ac:dyDescent="0.2">
      <c r="A82" s="49">
        <v>43381</v>
      </c>
      <c r="B82" t="s">
        <v>17</v>
      </c>
      <c r="C82" t="s">
        <v>140</v>
      </c>
      <c r="D82" t="s">
        <v>138</v>
      </c>
      <c r="E82" t="s">
        <v>138</v>
      </c>
      <c r="I82" s="49"/>
      <c r="J82" s="47">
        <v>-5244646.3099999996</v>
      </c>
      <c r="L82">
        <v>-5244646.3099999996</v>
      </c>
      <c r="N82">
        <v>0</v>
      </c>
      <c r="Q82" s="49"/>
      <c r="R82" s="49" t="str">
        <f>DataTable[HLD_Portfolio]&amp;DataTable[HLD_Date]</f>
        <v>SCBSFF43381</v>
      </c>
    </row>
    <row r="83" spans="1:18" x14ac:dyDescent="0.2">
      <c r="A83" s="49">
        <v>43381</v>
      </c>
      <c r="B83" t="s">
        <v>17</v>
      </c>
      <c r="C83" t="s">
        <v>140</v>
      </c>
      <c r="D83" t="s">
        <v>139</v>
      </c>
      <c r="E83" t="s">
        <v>139</v>
      </c>
      <c r="I83" s="49"/>
      <c r="J83" s="47">
        <v>0</v>
      </c>
      <c r="L83">
        <v>0</v>
      </c>
      <c r="N83">
        <v>0</v>
      </c>
      <c r="Q83" s="49"/>
      <c r="R83" s="49" t="str">
        <f>DataTable[HLD_Portfolio]&amp;DataTable[HLD_Date]</f>
        <v>SCBSFF43381</v>
      </c>
    </row>
    <row r="84" spans="1:18" x14ac:dyDescent="0.2">
      <c r="A84" s="49">
        <v>43381</v>
      </c>
      <c r="B84" t="s">
        <v>142</v>
      </c>
      <c r="C84" t="s">
        <v>18</v>
      </c>
      <c r="D84" t="s">
        <v>19</v>
      </c>
      <c r="F84" t="s">
        <v>20</v>
      </c>
      <c r="G84" t="s">
        <v>21</v>
      </c>
      <c r="I84" s="49"/>
      <c r="J84" s="47">
        <v>10648845.939999999</v>
      </c>
      <c r="K84">
        <v>574943.46</v>
      </c>
      <c r="L84">
        <v>10648845.939999999</v>
      </c>
      <c r="M84">
        <v>0</v>
      </c>
      <c r="N84">
        <v>0</v>
      </c>
      <c r="O84" t="s">
        <v>22</v>
      </c>
      <c r="P84" t="s">
        <v>23</v>
      </c>
      <c r="Q84" s="49">
        <v>2</v>
      </c>
      <c r="R84" s="49" t="str">
        <f>DataTable[HLD_Portfolio]&amp;DataTable[HLD_Date]</f>
        <v>SCBSFFPLUS43381</v>
      </c>
    </row>
    <row r="85" spans="1:18" x14ac:dyDescent="0.2">
      <c r="A85" s="49">
        <v>43381</v>
      </c>
      <c r="B85" t="s">
        <v>142</v>
      </c>
      <c r="C85" t="s">
        <v>18</v>
      </c>
      <c r="D85" t="s">
        <v>19</v>
      </c>
      <c r="F85" t="s">
        <v>145</v>
      </c>
      <c r="G85" t="s">
        <v>146</v>
      </c>
      <c r="I85" s="49"/>
      <c r="J85" s="47">
        <v>0</v>
      </c>
      <c r="L85">
        <v>0</v>
      </c>
      <c r="M85">
        <v>0</v>
      </c>
      <c r="N85">
        <v>0</v>
      </c>
      <c r="O85" t="s">
        <v>22</v>
      </c>
      <c r="P85" t="s">
        <v>147</v>
      </c>
      <c r="Q85" s="49">
        <v>2</v>
      </c>
      <c r="R85" s="49" t="str">
        <f>DataTable[HLD_Portfolio]&amp;DataTable[HLD_Date]</f>
        <v>SCBSFFPLUS43381</v>
      </c>
    </row>
    <row r="86" spans="1:18" x14ac:dyDescent="0.2">
      <c r="A86" s="49">
        <v>43381</v>
      </c>
      <c r="B86" t="s">
        <v>142</v>
      </c>
      <c r="C86" t="s">
        <v>18</v>
      </c>
      <c r="D86" t="s">
        <v>19</v>
      </c>
      <c r="F86" t="s">
        <v>25</v>
      </c>
      <c r="G86" t="s">
        <v>26</v>
      </c>
      <c r="H86" t="s">
        <v>27</v>
      </c>
      <c r="I86" s="49"/>
      <c r="J86" s="47">
        <v>0</v>
      </c>
      <c r="L86">
        <v>0</v>
      </c>
      <c r="M86">
        <v>0</v>
      </c>
      <c r="N86">
        <v>0</v>
      </c>
      <c r="O86" t="s">
        <v>22</v>
      </c>
      <c r="P86" t="s">
        <v>28</v>
      </c>
      <c r="Q86" s="49">
        <v>2</v>
      </c>
      <c r="R86" s="49" t="str">
        <f>DataTable[HLD_Portfolio]&amp;DataTable[HLD_Date]</f>
        <v>SCBSFFPLUS43381</v>
      </c>
    </row>
    <row r="87" spans="1:18" x14ac:dyDescent="0.2">
      <c r="A87" s="49">
        <v>43381</v>
      </c>
      <c r="B87" t="s">
        <v>142</v>
      </c>
      <c r="C87" t="s">
        <v>18</v>
      </c>
      <c r="D87" t="s">
        <v>19</v>
      </c>
      <c r="F87" t="s">
        <v>30</v>
      </c>
      <c r="G87" t="s">
        <v>26</v>
      </c>
      <c r="H87" t="s">
        <v>27</v>
      </c>
      <c r="I87" s="49"/>
      <c r="J87" s="47">
        <v>0</v>
      </c>
      <c r="L87">
        <v>0</v>
      </c>
      <c r="M87">
        <v>0</v>
      </c>
      <c r="N87">
        <v>0</v>
      </c>
      <c r="O87" t="s">
        <v>22</v>
      </c>
      <c r="P87" t="s">
        <v>31</v>
      </c>
      <c r="Q87" s="49">
        <v>2</v>
      </c>
      <c r="R87" s="49" t="str">
        <f>DataTable[HLD_Portfolio]&amp;DataTable[HLD_Date]</f>
        <v>SCBSFFPLUS43381</v>
      </c>
    </row>
    <row r="88" spans="1:18" x14ac:dyDescent="0.2">
      <c r="A88" s="49">
        <v>43381</v>
      </c>
      <c r="B88" t="s">
        <v>142</v>
      </c>
      <c r="C88" t="s">
        <v>18</v>
      </c>
      <c r="D88" t="s">
        <v>19</v>
      </c>
      <c r="F88" t="s">
        <v>148</v>
      </c>
      <c r="G88" t="s">
        <v>149</v>
      </c>
      <c r="H88" t="s">
        <v>27</v>
      </c>
      <c r="I88" s="49"/>
      <c r="J88" s="47">
        <v>0</v>
      </c>
      <c r="L88">
        <v>0</v>
      </c>
      <c r="M88">
        <v>0</v>
      </c>
      <c r="N88">
        <v>0</v>
      </c>
      <c r="O88" t="s">
        <v>22</v>
      </c>
      <c r="P88" t="s">
        <v>150</v>
      </c>
      <c r="Q88" s="49">
        <v>2</v>
      </c>
      <c r="R88" s="49" t="str">
        <f>DataTable[HLD_Portfolio]&amp;DataTable[HLD_Date]</f>
        <v>SCBSFFPLUS43381</v>
      </c>
    </row>
    <row r="89" spans="1:18" x14ac:dyDescent="0.2">
      <c r="A89" s="49">
        <v>43381</v>
      </c>
      <c r="B89" t="s">
        <v>142</v>
      </c>
      <c r="C89" t="s">
        <v>18</v>
      </c>
      <c r="D89" t="s">
        <v>19</v>
      </c>
      <c r="F89" t="s">
        <v>32</v>
      </c>
      <c r="G89" t="s">
        <v>26</v>
      </c>
      <c r="H89" t="s">
        <v>27</v>
      </c>
      <c r="I89" s="49"/>
      <c r="J89" s="47">
        <v>0</v>
      </c>
      <c r="L89">
        <v>0</v>
      </c>
      <c r="M89">
        <v>0</v>
      </c>
      <c r="N89">
        <v>0</v>
      </c>
      <c r="O89" t="s">
        <v>22</v>
      </c>
      <c r="P89" t="s">
        <v>33</v>
      </c>
      <c r="Q89" s="49">
        <v>2</v>
      </c>
      <c r="R89" s="49" t="str">
        <f>DataTable[HLD_Portfolio]&amp;DataTable[HLD_Date]</f>
        <v>SCBSFFPLUS43381</v>
      </c>
    </row>
    <row r="90" spans="1:18" x14ac:dyDescent="0.2">
      <c r="A90" s="49">
        <v>43381</v>
      </c>
      <c r="B90" t="s">
        <v>142</v>
      </c>
      <c r="C90" t="s">
        <v>18</v>
      </c>
      <c r="D90" t="s">
        <v>19</v>
      </c>
      <c r="F90" t="s">
        <v>151</v>
      </c>
      <c r="G90" t="s">
        <v>26</v>
      </c>
      <c r="H90" t="s">
        <v>27</v>
      </c>
      <c r="I90" s="49"/>
      <c r="J90" s="47">
        <v>0</v>
      </c>
      <c r="L90">
        <v>0</v>
      </c>
      <c r="M90">
        <v>0</v>
      </c>
      <c r="N90">
        <v>0</v>
      </c>
      <c r="O90" t="s">
        <v>22</v>
      </c>
      <c r="P90" t="s">
        <v>152</v>
      </c>
      <c r="Q90" s="49">
        <v>2</v>
      </c>
      <c r="R90" s="49" t="str">
        <f>DataTable[HLD_Portfolio]&amp;DataTable[HLD_Date]</f>
        <v>SCBSFFPLUS43381</v>
      </c>
    </row>
    <row r="91" spans="1:18" x14ac:dyDescent="0.2">
      <c r="A91" s="49">
        <v>43381</v>
      </c>
      <c r="B91" t="s">
        <v>142</v>
      </c>
      <c r="C91" t="s">
        <v>18</v>
      </c>
      <c r="D91" t="s">
        <v>19</v>
      </c>
      <c r="F91" t="s">
        <v>36</v>
      </c>
      <c r="G91" t="s">
        <v>26</v>
      </c>
      <c r="H91" t="s">
        <v>27</v>
      </c>
      <c r="I91" s="49"/>
      <c r="J91" s="47">
        <v>0</v>
      </c>
      <c r="L91">
        <v>0</v>
      </c>
      <c r="M91">
        <v>0</v>
      </c>
      <c r="N91">
        <v>0</v>
      </c>
      <c r="O91" t="s">
        <v>22</v>
      </c>
      <c r="P91" t="s">
        <v>37</v>
      </c>
      <c r="Q91" s="49">
        <v>2</v>
      </c>
      <c r="R91" s="49" t="str">
        <f>DataTable[HLD_Portfolio]&amp;DataTable[HLD_Date]</f>
        <v>SCBSFFPLUS43381</v>
      </c>
    </row>
    <row r="92" spans="1:18" x14ac:dyDescent="0.2">
      <c r="A92" s="49">
        <v>43381</v>
      </c>
      <c r="B92" t="s">
        <v>142</v>
      </c>
      <c r="C92" t="s">
        <v>18</v>
      </c>
      <c r="D92" t="s">
        <v>38</v>
      </c>
      <c r="F92" t="s">
        <v>153</v>
      </c>
      <c r="G92" t="s">
        <v>154</v>
      </c>
      <c r="H92" t="s">
        <v>35</v>
      </c>
      <c r="I92" s="49">
        <v>43497</v>
      </c>
      <c r="J92" s="47">
        <v>3786110000</v>
      </c>
      <c r="L92">
        <v>3784417524.3800001</v>
      </c>
      <c r="N92">
        <v>0.14000000000000001</v>
      </c>
      <c r="O92" t="s">
        <v>42</v>
      </c>
      <c r="P92" t="s">
        <v>31</v>
      </c>
      <c r="Q92" s="49">
        <v>43136</v>
      </c>
      <c r="R92" s="49" t="str">
        <f>DataTable[HLD_Portfolio]&amp;DataTable[HLD_Date]</f>
        <v>SCBSFFPLUS43381</v>
      </c>
    </row>
    <row r="93" spans="1:18" x14ac:dyDescent="0.2">
      <c r="A93" s="49">
        <v>43381</v>
      </c>
      <c r="B93" t="s">
        <v>142</v>
      </c>
      <c r="C93" t="s">
        <v>18</v>
      </c>
      <c r="D93" t="s">
        <v>38</v>
      </c>
      <c r="F93" t="s">
        <v>155</v>
      </c>
      <c r="G93" t="s">
        <v>156</v>
      </c>
      <c r="H93" t="s">
        <v>47</v>
      </c>
      <c r="I93" s="49">
        <v>43481</v>
      </c>
      <c r="J93" s="47">
        <v>988978372.20000005</v>
      </c>
      <c r="K93">
        <v>18283620.829999998</v>
      </c>
      <c r="L93">
        <v>989156118.69000006</v>
      </c>
      <c r="N93">
        <v>2.6850000000000001</v>
      </c>
      <c r="O93" t="s">
        <v>42</v>
      </c>
      <c r="P93" t="s">
        <v>37</v>
      </c>
      <c r="Q93" s="49">
        <v>43116</v>
      </c>
      <c r="R93" s="49" t="str">
        <f>DataTable[HLD_Portfolio]&amp;DataTable[HLD_Date]</f>
        <v>SCBSFFPLUS43381</v>
      </c>
    </row>
    <row r="94" spans="1:18" x14ac:dyDescent="0.2">
      <c r="A94" s="49">
        <v>43381</v>
      </c>
      <c r="B94" t="s">
        <v>142</v>
      </c>
      <c r="C94" t="s">
        <v>18</v>
      </c>
      <c r="D94" t="s">
        <v>38</v>
      </c>
      <c r="F94" t="s">
        <v>157</v>
      </c>
      <c r="G94" t="s">
        <v>40</v>
      </c>
      <c r="H94" t="s">
        <v>41</v>
      </c>
      <c r="I94" s="49">
        <v>43602</v>
      </c>
      <c r="J94" s="47">
        <v>2000000000</v>
      </c>
      <c r="K94">
        <v>13109589.039999999</v>
      </c>
      <c r="L94">
        <v>2000000000</v>
      </c>
      <c r="M94">
        <v>0.59952899999999998</v>
      </c>
      <c r="N94">
        <v>1.65</v>
      </c>
      <c r="O94" t="s">
        <v>42</v>
      </c>
      <c r="P94" t="s">
        <v>23</v>
      </c>
      <c r="Q94" s="49">
        <v>43237</v>
      </c>
      <c r="R94" s="49" t="str">
        <f>DataTable[HLD_Portfolio]&amp;DataTable[HLD_Date]</f>
        <v>SCBSFFPLUS43381</v>
      </c>
    </row>
    <row r="95" spans="1:18" x14ac:dyDescent="0.2">
      <c r="A95" s="49">
        <v>43381</v>
      </c>
      <c r="B95" t="s">
        <v>142</v>
      </c>
      <c r="C95" t="s">
        <v>18</v>
      </c>
      <c r="D95" t="s">
        <v>38</v>
      </c>
      <c r="F95" t="s">
        <v>158</v>
      </c>
      <c r="G95" t="s">
        <v>159</v>
      </c>
      <c r="H95" t="s">
        <v>47</v>
      </c>
      <c r="I95" s="49">
        <v>43530</v>
      </c>
      <c r="J95" s="47">
        <v>3786110000</v>
      </c>
      <c r="L95">
        <v>3786110000</v>
      </c>
      <c r="N95">
        <v>0</v>
      </c>
      <c r="O95" t="s">
        <v>42</v>
      </c>
      <c r="P95" t="s">
        <v>31</v>
      </c>
      <c r="Q95" s="49">
        <v>43165</v>
      </c>
      <c r="R95" s="49" t="str">
        <f>DataTable[HLD_Portfolio]&amp;DataTable[HLD_Date]</f>
        <v>SCBSFFPLUS43381</v>
      </c>
    </row>
    <row r="96" spans="1:18" x14ac:dyDescent="0.2">
      <c r="A96" s="49">
        <v>43381</v>
      </c>
      <c r="B96" t="s">
        <v>142</v>
      </c>
      <c r="C96" t="s">
        <v>18</v>
      </c>
      <c r="D96" t="s">
        <v>38</v>
      </c>
      <c r="F96" t="s">
        <v>160</v>
      </c>
      <c r="G96" t="s">
        <v>159</v>
      </c>
      <c r="H96" t="s">
        <v>47</v>
      </c>
      <c r="I96" s="49">
        <v>43441</v>
      </c>
      <c r="J96" s="47">
        <v>1893055000</v>
      </c>
      <c r="L96">
        <v>1893086025.5799999</v>
      </c>
      <c r="N96">
        <v>-0.01</v>
      </c>
      <c r="O96" t="s">
        <v>42</v>
      </c>
      <c r="P96" t="s">
        <v>31</v>
      </c>
      <c r="Q96" s="49">
        <v>43076</v>
      </c>
      <c r="R96" s="49" t="str">
        <f>DataTable[HLD_Portfolio]&amp;DataTable[HLD_Date]</f>
        <v>SCBSFFPLUS43381</v>
      </c>
    </row>
    <row r="97" spans="1:18" x14ac:dyDescent="0.2">
      <c r="A97" s="49">
        <v>43381</v>
      </c>
      <c r="B97" t="s">
        <v>142</v>
      </c>
      <c r="C97" t="s">
        <v>18</v>
      </c>
      <c r="D97" t="s">
        <v>38</v>
      </c>
      <c r="F97" t="s">
        <v>161</v>
      </c>
      <c r="G97" t="s">
        <v>162</v>
      </c>
      <c r="H97" t="s">
        <v>47</v>
      </c>
      <c r="I97" s="49">
        <v>43504</v>
      </c>
      <c r="J97" s="47">
        <v>1649650000</v>
      </c>
      <c r="K97">
        <v>31050078.890000001</v>
      </c>
      <c r="L97">
        <v>1649650000</v>
      </c>
      <c r="N97">
        <v>2.8</v>
      </c>
      <c r="O97" t="s">
        <v>42</v>
      </c>
      <c r="P97" t="s">
        <v>37</v>
      </c>
      <c r="Q97" s="49">
        <v>43140</v>
      </c>
      <c r="R97" s="49" t="str">
        <f>DataTable[HLD_Portfolio]&amp;DataTable[HLD_Date]</f>
        <v>SCBSFFPLUS43381</v>
      </c>
    </row>
    <row r="98" spans="1:18" x14ac:dyDescent="0.2">
      <c r="A98" s="49">
        <v>43381</v>
      </c>
      <c r="B98" t="s">
        <v>142</v>
      </c>
      <c r="C98" t="s">
        <v>18</v>
      </c>
      <c r="D98" t="s">
        <v>38</v>
      </c>
      <c r="F98" t="s">
        <v>163</v>
      </c>
      <c r="G98" t="s">
        <v>46</v>
      </c>
      <c r="H98" t="s">
        <v>47</v>
      </c>
      <c r="I98" s="49">
        <v>43509</v>
      </c>
      <c r="J98" s="47">
        <v>3786110000</v>
      </c>
      <c r="K98">
        <v>1251519.69</v>
      </c>
      <c r="L98">
        <v>3865000000</v>
      </c>
      <c r="M98">
        <v>0.35549199999999997</v>
      </c>
      <c r="N98">
        <v>0.05</v>
      </c>
      <c r="O98" t="s">
        <v>42</v>
      </c>
      <c r="P98" t="s">
        <v>31</v>
      </c>
      <c r="Q98" s="49">
        <v>43144</v>
      </c>
      <c r="R98" s="49" t="str">
        <f>DataTable[HLD_Portfolio]&amp;DataTable[HLD_Date]</f>
        <v>SCBSFFPLUS43381</v>
      </c>
    </row>
    <row r="99" spans="1:18" x14ac:dyDescent="0.2">
      <c r="A99" s="49">
        <v>43381</v>
      </c>
      <c r="B99" t="s">
        <v>142</v>
      </c>
      <c r="C99" t="s">
        <v>18</v>
      </c>
      <c r="D99" t="s">
        <v>38</v>
      </c>
      <c r="F99" t="s">
        <v>164</v>
      </c>
      <c r="G99" t="s">
        <v>46</v>
      </c>
      <c r="H99" t="s">
        <v>47</v>
      </c>
      <c r="I99" s="49">
        <v>43546</v>
      </c>
      <c r="J99" s="47">
        <v>1135833000</v>
      </c>
      <c r="K99">
        <v>253669.37</v>
      </c>
      <c r="L99">
        <v>1140000000</v>
      </c>
      <c r="M99">
        <v>0.45824900000000002</v>
      </c>
      <c r="N99">
        <v>0.04</v>
      </c>
      <c r="O99" t="s">
        <v>42</v>
      </c>
      <c r="P99" t="s">
        <v>31</v>
      </c>
      <c r="Q99" s="49">
        <v>43181</v>
      </c>
      <c r="R99" s="49" t="str">
        <f>DataTable[HLD_Portfolio]&amp;DataTable[HLD_Date]</f>
        <v>SCBSFFPLUS43381</v>
      </c>
    </row>
    <row r="100" spans="1:18" x14ac:dyDescent="0.2">
      <c r="A100" s="49">
        <v>43381</v>
      </c>
      <c r="B100" t="s">
        <v>142</v>
      </c>
      <c r="C100" t="s">
        <v>18</v>
      </c>
      <c r="D100" t="s">
        <v>38</v>
      </c>
      <c r="F100" t="s">
        <v>165</v>
      </c>
      <c r="G100" t="s">
        <v>46</v>
      </c>
      <c r="H100" t="s">
        <v>47</v>
      </c>
      <c r="I100" s="49">
        <v>43608</v>
      </c>
      <c r="J100" s="47">
        <v>3028888000</v>
      </c>
      <c r="K100">
        <v>1625503.23</v>
      </c>
      <c r="L100">
        <v>3010400000</v>
      </c>
      <c r="M100">
        <v>0.63</v>
      </c>
      <c r="N100">
        <v>0.14000000000000001</v>
      </c>
      <c r="O100" t="s">
        <v>42</v>
      </c>
      <c r="P100" t="s">
        <v>31</v>
      </c>
      <c r="Q100" s="49">
        <v>43244</v>
      </c>
      <c r="R100" s="49" t="str">
        <f>DataTable[HLD_Portfolio]&amp;DataTable[HLD_Date]</f>
        <v>SCBSFFPLUS43381</v>
      </c>
    </row>
    <row r="101" spans="1:18" x14ac:dyDescent="0.2">
      <c r="A101" s="49">
        <v>43381</v>
      </c>
      <c r="B101" t="s">
        <v>142</v>
      </c>
      <c r="C101" t="s">
        <v>18</v>
      </c>
      <c r="D101" t="s">
        <v>38</v>
      </c>
      <c r="F101" t="s">
        <v>166</v>
      </c>
      <c r="G101" t="s">
        <v>46</v>
      </c>
      <c r="H101" t="s">
        <v>47</v>
      </c>
      <c r="I101" s="49">
        <v>43641</v>
      </c>
      <c r="J101" s="47">
        <v>2804405000</v>
      </c>
      <c r="K101">
        <v>27414616.879999999</v>
      </c>
      <c r="L101">
        <v>2803725000</v>
      </c>
      <c r="M101">
        <v>0.70546900000000001</v>
      </c>
      <c r="N101">
        <v>3.32</v>
      </c>
      <c r="O101" t="s">
        <v>42</v>
      </c>
      <c r="P101" t="s">
        <v>37</v>
      </c>
      <c r="Q101" s="49">
        <v>43276</v>
      </c>
      <c r="R101" s="49" t="str">
        <f>DataTable[HLD_Portfolio]&amp;DataTable[HLD_Date]</f>
        <v>SCBSFFPLUS43381</v>
      </c>
    </row>
    <row r="102" spans="1:18" x14ac:dyDescent="0.2">
      <c r="A102" s="49">
        <v>43381</v>
      </c>
      <c r="B102" t="s">
        <v>142</v>
      </c>
      <c r="C102" t="s">
        <v>18</v>
      </c>
      <c r="D102" t="s">
        <v>38</v>
      </c>
      <c r="F102" t="s">
        <v>167</v>
      </c>
      <c r="G102" t="s">
        <v>46</v>
      </c>
      <c r="H102" t="s">
        <v>47</v>
      </c>
      <c r="I102" s="49">
        <v>43581</v>
      </c>
      <c r="J102" s="47">
        <v>1979580000</v>
      </c>
      <c r="K102">
        <v>28935960.77</v>
      </c>
      <c r="L102">
        <v>1887600000</v>
      </c>
      <c r="M102">
        <v>0.54607600000000001</v>
      </c>
      <c r="N102">
        <v>3.17</v>
      </c>
      <c r="O102" t="s">
        <v>42</v>
      </c>
      <c r="P102" t="s">
        <v>37</v>
      </c>
      <c r="Q102" s="49">
        <v>43216</v>
      </c>
      <c r="R102" s="49" t="str">
        <f>DataTable[HLD_Portfolio]&amp;DataTable[HLD_Date]</f>
        <v>SCBSFFPLUS43381</v>
      </c>
    </row>
    <row r="103" spans="1:18" x14ac:dyDescent="0.2">
      <c r="A103" s="49">
        <v>43381</v>
      </c>
      <c r="B103" t="s">
        <v>142</v>
      </c>
      <c r="C103" t="s">
        <v>18</v>
      </c>
      <c r="D103" t="s">
        <v>38</v>
      </c>
      <c r="F103" t="s">
        <v>168</v>
      </c>
      <c r="G103" t="s">
        <v>46</v>
      </c>
      <c r="H103" t="s">
        <v>47</v>
      </c>
      <c r="I103" s="49">
        <v>43551</v>
      </c>
      <c r="J103" s="47">
        <v>3028888000</v>
      </c>
      <c r="K103">
        <v>1813967.37</v>
      </c>
      <c r="L103">
        <v>3051200000</v>
      </c>
      <c r="M103">
        <v>0.47197699999999998</v>
      </c>
      <c r="N103">
        <v>0.11</v>
      </c>
      <c r="O103" t="s">
        <v>42</v>
      </c>
      <c r="P103" t="s">
        <v>31</v>
      </c>
      <c r="Q103" s="49">
        <v>43186</v>
      </c>
      <c r="R103" s="49" t="str">
        <f>DataTable[HLD_Portfolio]&amp;DataTable[HLD_Date]</f>
        <v>SCBSFFPLUS43381</v>
      </c>
    </row>
    <row r="104" spans="1:18" x14ac:dyDescent="0.2">
      <c r="A104" s="49">
        <v>43381</v>
      </c>
      <c r="B104" t="s">
        <v>142</v>
      </c>
      <c r="C104" t="s">
        <v>18</v>
      </c>
      <c r="D104" t="s">
        <v>38</v>
      </c>
      <c r="F104" t="s">
        <v>169</v>
      </c>
      <c r="G104" t="s">
        <v>46</v>
      </c>
      <c r="H104" t="s">
        <v>47</v>
      </c>
      <c r="I104" s="49">
        <v>43552</v>
      </c>
      <c r="J104" s="47">
        <v>3028888000</v>
      </c>
      <c r="K104">
        <v>1722680.05</v>
      </c>
      <c r="L104">
        <v>3065600000</v>
      </c>
      <c r="M104">
        <v>0.47476299999999999</v>
      </c>
      <c r="N104">
        <v>0.105</v>
      </c>
      <c r="O104" t="s">
        <v>42</v>
      </c>
      <c r="P104" t="s">
        <v>31</v>
      </c>
      <c r="Q104" s="49">
        <v>43187</v>
      </c>
      <c r="R104" s="49" t="str">
        <f>DataTable[HLD_Portfolio]&amp;DataTable[HLD_Date]</f>
        <v>SCBSFFPLUS43381</v>
      </c>
    </row>
    <row r="105" spans="1:18" x14ac:dyDescent="0.2">
      <c r="A105" s="49">
        <v>43381</v>
      </c>
      <c r="B105" t="s">
        <v>142</v>
      </c>
      <c r="C105" t="s">
        <v>18</v>
      </c>
      <c r="D105" t="s">
        <v>38</v>
      </c>
      <c r="F105" t="s">
        <v>170</v>
      </c>
      <c r="G105" t="s">
        <v>46</v>
      </c>
      <c r="H105" t="s">
        <v>47</v>
      </c>
      <c r="I105" s="49">
        <v>43496</v>
      </c>
      <c r="J105" s="47">
        <v>3786110000</v>
      </c>
      <c r="K105">
        <v>3959640.04</v>
      </c>
      <c r="L105">
        <v>3880000000</v>
      </c>
      <c r="M105">
        <v>0.31929099999999999</v>
      </c>
      <c r="N105">
        <v>0.15</v>
      </c>
      <c r="O105" t="s">
        <v>42</v>
      </c>
      <c r="P105" t="s">
        <v>31</v>
      </c>
      <c r="Q105" s="49">
        <v>43131</v>
      </c>
      <c r="R105" s="49" t="str">
        <f>DataTable[HLD_Portfolio]&amp;DataTable[HLD_Date]</f>
        <v>SCBSFFPLUS43381</v>
      </c>
    </row>
    <row r="106" spans="1:18" x14ac:dyDescent="0.2">
      <c r="A106" s="49">
        <v>43381</v>
      </c>
      <c r="B106" t="s">
        <v>142</v>
      </c>
      <c r="C106" t="s">
        <v>18</v>
      </c>
      <c r="D106" t="s">
        <v>38</v>
      </c>
      <c r="F106" t="s">
        <v>171</v>
      </c>
      <c r="G106" t="s">
        <v>46</v>
      </c>
      <c r="H106" t="s">
        <v>47</v>
      </c>
      <c r="I106" s="49">
        <v>43616</v>
      </c>
      <c r="J106" s="47">
        <v>1893055000</v>
      </c>
      <c r="K106">
        <v>971768.23</v>
      </c>
      <c r="L106">
        <v>1855000000</v>
      </c>
      <c r="M106">
        <v>0.65218200000000004</v>
      </c>
      <c r="N106">
        <v>0.14000000000000001</v>
      </c>
      <c r="O106" t="s">
        <v>42</v>
      </c>
      <c r="P106" t="s">
        <v>31</v>
      </c>
      <c r="Q106" s="49">
        <v>43250</v>
      </c>
      <c r="R106" s="49" t="str">
        <f>DataTable[HLD_Portfolio]&amp;DataTable[HLD_Date]</f>
        <v>SCBSFFPLUS43381</v>
      </c>
    </row>
    <row r="107" spans="1:18" x14ac:dyDescent="0.2">
      <c r="A107" s="49">
        <v>43381</v>
      </c>
      <c r="B107" t="s">
        <v>142</v>
      </c>
      <c r="C107" t="s">
        <v>18</v>
      </c>
      <c r="D107" t="s">
        <v>38</v>
      </c>
      <c r="F107" t="s">
        <v>49</v>
      </c>
      <c r="G107" t="s">
        <v>50</v>
      </c>
      <c r="H107" t="s">
        <v>51</v>
      </c>
      <c r="I107" s="49">
        <v>43410</v>
      </c>
      <c r="J107" s="47">
        <v>1154755000</v>
      </c>
      <c r="K107">
        <v>25861524.100000001</v>
      </c>
      <c r="L107">
        <v>1158500000</v>
      </c>
      <c r="M107">
        <v>8.0403000000000002E-2</v>
      </c>
      <c r="N107">
        <v>2.4066999999999998</v>
      </c>
      <c r="O107" t="s">
        <v>42</v>
      </c>
      <c r="P107" t="s">
        <v>37</v>
      </c>
      <c r="Q107" s="49">
        <v>43047</v>
      </c>
      <c r="R107" s="49" t="str">
        <f>DataTable[HLD_Portfolio]&amp;DataTable[HLD_Date]</f>
        <v>SCBSFFPLUS43381</v>
      </c>
    </row>
    <row r="108" spans="1:18" x14ac:dyDescent="0.2">
      <c r="A108" s="49">
        <v>43381</v>
      </c>
      <c r="B108" t="s">
        <v>142</v>
      </c>
      <c r="C108" t="s">
        <v>18</v>
      </c>
      <c r="D108" t="s">
        <v>38</v>
      </c>
      <c r="F108" t="s">
        <v>52</v>
      </c>
      <c r="G108" t="s">
        <v>50</v>
      </c>
      <c r="H108" t="s">
        <v>51</v>
      </c>
      <c r="I108" s="49">
        <v>43389</v>
      </c>
      <c r="J108" s="47">
        <v>1649650000</v>
      </c>
      <c r="K108">
        <v>39041716.670000002</v>
      </c>
      <c r="L108">
        <v>1654000000</v>
      </c>
      <c r="M108">
        <v>2.2210000000000001E-2</v>
      </c>
      <c r="N108">
        <v>2.4</v>
      </c>
      <c r="O108" t="s">
        <v>42</v>
      </c>
      <c r="P108" t="s">
        <v>37</v>
      </c>
      <c r="Q108" s="49">
        <v>43027</v>
      </c>
      <c r="R108" s="49" t="str">
        <f>DataTable[HLD_Portfolio]&amp;DataTable[HLD_Date]</f>
        <v>SCBSFFPLUS43381</v>
      </c>
    </row>
    <row r="109" spans="1:18" x14ac:dyDescent="0.2">
      <c r="A109" s="49">
        <v>43381</v>
      </c>
      <c r="B109" t="s">
        <v>142</v>
      </c>
      <c r="C109" t="s">
        <v>18</v>
      </c>
      <c r="D109" t="s">
        <v>38</v>
      </c>
      <c r="F109" t="s">
        <v>172</v>
      </c>
      <c r="G109" t="s">
        <v>50</v>
      </c>
      <c r="H109" t="s">
        <v>51</v>
      </c>
      <c r="I109" s="49">
        <v>43452</v>
      </c>
      <c r="J109" s="47">
        <v>3593030240</v>
      </c>
      <c r="K109">
        <v>85384371.400000006</v>
      </c>
      <c r="L109">
        <v>3542000000</v>
      </c>
      <c r="M109">
        <v>0.19612599999999999</v>
      </c>
      <c r="N109">
        <v>2.9</v>
      </c>
      <c r="O109" t="s">
        <v>42</v>
      </c>
      <c r="P109" t="s">
        <v>147</v>
      </c>
      <c r="Q109" s="49">
        <v>43087</v>
      </c>
      <c r="R109" s="49" t="str">
        <f>DataTable[HLD_Portfolio]&amp;DataTable[HLD_Date]</f>
        <v>SCBSFFPLUS43381</v>
      </c>
    </row>
    <row r="110" spans="1:18" x14ac:dyDescent="0.2">
      <c r="A110" s="49">
        <v>43381</v>
      </c>
      <c r="B110" t="s">
        <v>142</v>
      </c>
      <c r="C110" t="s">
        <v>18</v>
      </c>
      <c r="D110" t="s">
        <v>38</v>
      </c>
      <c r="F110" t="s">
        <v>173</v>
      </c>
      <c r="G110" t="s">
        <v>54</v>
      </c>
      <c r="H110" t="s">
        <v>47</v>
      </c>
      <c r="I110" s="49">
        <v>43587</v>
      </c>
      <c r="J110" s="47">
        <v>2650277000</v>
      </c>
      <c r="K110">
        <v>697906.28</v>
      </c>
      <c r="L110">
        <v>2660000000</v>
      </c>
      <c r="M110">
        <v>0.57202600000000003</v>
      </c>
      <c r="N110">
        <v>0.06</v>
      </c>
      <c r="O110" t="s">
        <v>42</v>
      </c>
      <c r="P110" t="s">
        <v>31</v>
      </c>
      <c r="Q110" s="49">
        <v>43224</v>
      </c>
      <c r="R110" s="49" t="str">
        <f>DataTable[HLD_Portfolio]&amp;DataTable[HLD_Date]</f>
        <v>SCBSFFPLUS43381</v>
      </c>
    </row>
    <row r="111" spans="1:18" x14ac:dyDescent="0.2">
      <c r="A111" s="49">
        <v>43381</v>
      </c>
      <c r="B111" t="s">
        <v>142</v>
      </c>
      <c r="C111" t="s">
        <v>18</v>
      </c>
      <c r="D111" t="s">
        <v>38</v>
      </c>
      <c r="F111" t="s">
        <v>174</v>
      </c>
      <c r="G111" t="s">
        <v>54</v>
      </c>
      <c r="H111" t="s">
        <v>47</v>
      </c>
      <c r="I111" s="49">
        <v>43473</v>
      </c>
      <c r="J111" s="47">
        <v>3299300000</v>
      </c>
      <c r="K111">
        <v>67047274.829999998</v>
      </c>
      <c r="L111">
        <v>3230500000</v>
      </c>
      <c r="M111">
        <v>0.25385799999999997</v>
      </c>
      <c r="N111">
        <v>2.67</v>
      </c>
      <c r="O111" t="s">
        <v>42</v>
      </c>
      <c r="P111" t="s">
        <v>37</v>
      </c>
      <c r="Q111" s="49">
        <v>43108</v>
      </c>
      <c r="R111" s="49" t="str">
        <f>DataTable[HLD_Portfolio]&amp;DataTable[HLD_Date]</f>
        <v>SCBSFFPLUS43381</v>
      </c>
    </row>
    <row r="112" spans="1:18" x14ac:dyDescent="0.2">
      <c r="A112" s="49">
        <v>43381</v>
      </c>
      <c r="B112" t="s">
        <v>142</v>
      </c>
      <c r="C112" t="s">
        <v>18</v>
      </c>
      <c r="D112" t="s">
        <v>38</v>
      </c>
      <c r="F112" t="s">
        <v>175</v>
      </c>
      <c r="G112" t="s">
        <v>54</v>
      </c>
      <c r="H112" t="s">
        <v>47</v>
      </c>
      <c r="I112" s="49">
        <v>43474</v>
      </c>
      <c r="J112" s="47">
        <v>3233314000</v>
      </c>
      <c r="K112">
        <v>65466525.219999999</v>
      </c>
      <c r="L112">
        <v>3155600000</v>
      </c>
      <c r="M112">
        <v>0.25659799999999999</v>
      </c>
      <c r="N112">
        <v>2.67</v>
      </c>
      <c r="O112" t="s">
        <v>42</v>
      </c>
      <c r="P112" t="s">
        <v>37</v>
      </c>
      <c r="Q112" s="49">
        <v>43109</v>
      </c>
      <c r="R112" s="49" t="str">
        <f>DataTable[HLD_Portfolio]&amp;DataTable[HLD_Date]</f>
        <v>SCBSFFPLUS43381</v>
      </c>
    </row>
    <row r="113" spans="1:18" x14ac:dyDescent="0.2">
      <c r="A113" s="49">
        <v>43381</v>
      </c>
      <c r="B113" t="s">
        <v>142</v>
      </c>
      <c r="C113" t="s">
        <v>18</v>
      </c>
      <c r="D113" t="s">
        <v>38</v>
      </c>
      <c r="F113" t="s">
        <v>176</v>
      </c>
      <c r="G113" t="s">
        <v>54</v>
      </c>
      <c r="H113" t="s">
        <v>47</v>
      </c>
      <c r="I113" s="49">
        <v>43452</v>
      </c>
      <c r="J113" s="47">
        <v>2969370000</v>
      </c>
      <c r="K113">
        <v>65029203</v>
      </c>
      <c r="L113">
        <v>2945700000</v>
      </c>
      <c r="M113">
        <v>0.19620000000000001</v>
      </c>
      <c r="N113">
        <v>2.7</v>
      </c>
      <c r="O113" t="s">
        <v>42</v>
      </c>
      <c r="P113" t="s">
        <v>37</v>
      </c>
      <c r="Q113" s="49">
        <v>43090</v>
      </c>
      <c r="R113" s="49" t="str">
        <f>DataTable[HLD_Portfolio]&amp;DataTable[HLD_Date]</f>
        <v>SCBSFFPLUS43381</v>
      </c>
    </row>
    <row r="114" spans="1:18" x14ac:dyDescent="0.2">
      <c r="A114" s="49">
        <v>43381</v>
      </c>
      <c r="B114" t="s">
        <v>142</v>
      </c>
      <c r="C114" t="s">
        <v>18</v>
      </c>
      <c r="D114" t="s">
        <v>38</v>
      </c>
      <c r="F114" t="s">
        <v>177</v>
      </c>
      <c r="G114" t="s">
        <v>54</v>
      </c>
      <c r="H114" t="s">
        <v>47</v>
      </c>
      <c r="I114" s="49">
        <v>43644</v>
      </c>
      <c r="J114" s="47">
        <v>2804405000</v>
      </c>
      <c r="K114">
        <v>27280628.640000001</v>
      </c>
      <c r="L114">
        <v>2805637500</v>
      </c>
      <c r="M114">
        <v>0.71284899999999995</v>
      </c>
      <c r="N114">
        <v>3.4</v>
      </c>
      <c r="O114" t="s">
        <v>42</v>
      </c>
      <c r="P114" t="s">
        <v>37</v>
      </c>
      <c r="Q114" s="49">
        <v>43279</v>
      </c>
      <c r="R114" s="49" t="str">
        <f>DataTable[HLD_Portfolio]&amp;DataTable[HLD_Date]</f>
        <v>SCBSFFPLUS43381</v>
      </c>
    </row>
    <row r="115" spans="1:18" x14ac:dyDescent="0.2">
      <c r="A115" s="49">
        <v>43381</v>
      </c>
      <c r="B115" t="s">
        <v>142</v>
      </c>
      <c r="C115" t="s">
        <v>18</v>
      </c>
      <c r="D115" t="s">
        <v>38</v>
      </c>
      <c r="F115" t="s">
        <v>178</v>
      </c>
      <c r="G115" t="s">
        <v>58</v>
      </c>
      <c r="H115" t="s">
        <v>59</v>
      </c>
      <c r="I115" s="49">
        <v>43678</v>
      </c>
      <c r="J115" s="47">
        <v>670000000</v>
      </c>
      <c r="K115">
        <v>2153178.08</v>
      </c>
      <c r="L115">
        <v>670000000</v>
      </c>
      <c r="M115">
        <v>0.80263099999999998</v>
      </c>
      <c r="N115">
        <v>1.7</v>
      </c>
      <c r="O115" t="s">
        <v>42</v>
      </c>
      <c r="P115" t="s">
        <v>23</v>
      </c>
      <c r="Q115" s="49">
        <v>43313</v>
      </c>
      <c r="R115" s="49" t="str">
        <f>DataTable[HLD_Portfolio]&amp;DataTable[HLD_Date]</f>
        <v>SCBSFFPLUS43381</v>
      </c>
    </row>
    <row r="116" spans="1:18" x14ac:dyDescent="0.2">
      <c r="A116" s="49">
        <v>43381</v>
      </c>
      <c r="B116" t="s">
        <v>142</v>
      </c>
      <c r="C116" t="s">
        <v>18</v>
      </c>
      <c r="D116" t="s">
        <v>38</v>
      </c>
      <c r="F116" t="s">
        <v>179</v>
      </c>
      <c r="G116" t="s">
        <v>58</v>
      </c>
      <c r="H116" t="s">
        <v>59</v>
      </c>
      <c r="I116" s="49">
        <v>43679</v>
      </c>
      <c r="J116" s="47">
        <v>1000000000</v>
      </c>
      <c r="K116">
        <v>3167123.29</v>
      </c>
      <c r="L116">
        <v>1000000000</v>
      </c>
      <c r="M116">
        <v>0.80529600000000001</v>
      </c>
      <c r="N116">
        <v>1.7</v>
      </c>
      <c r="O116" t="s">
        <v>42</v>
      </c>
      <c r="P116" t="s">
        <v>23</v>
      </c>
      <c r="Q116" s="49">
        <v>43314</v>
      </c>
      <c r="R116" s="49" t="str">
        <f>DataTable[HLD_Portfolio]&amp;DataTable[HLD_Date]</f>
        <v>SCBSFFPLUS43381</v>
      </c>
    </row>
    <row r="117" spans="1:18" x14ac:dyDescent="0.2">
      <c r="A117" s="49">
        <v>43381</v>
      </c>
      <c r="B117" t="s">
        <v>142</v>
      </c>
      <c r="C117" t="s">
        <v>18</v>
      </c>
      <c r="D117" t="s">
        <v>38</v>
      </c>
      <c r="F117" t="s">
        <v>57</v>
      </c>
      <c r="G117" t="s">
        <v>58</v>
      </c>
      <c r="H117" t="s">
        <v>59</v>
      </c>
      <c r="I117" s="49">
        <v>43679</v>
      </c>
      <c r="J117" s="47">
        <v>700000000</v>
      </c>
      <c r="K117">
        <v>2184383.56</v>
      </c>
      <c r="L117">
        <v>700000000</v>
      </c>
      <c r="M117">
        <v>0.80529600000000001</v>
      </c>
      <c r="N117">
        <v>1.7</v>
      </c>
      <c r="O117" t="s">
        <v>42</v>
      </c>
      <c r="P117" t="s">
        <v>23</v>
      </c>
      <c r="Q117" s="49">
        <v>43315</v>
      </c>
      <c r="R117" s="49" t="str">
        <f>DataTable[HLD_Portfolio]&amp;DataTable[HLD_Date]</f>
        <v>SCBSFFPLUS43381</v>
      </c>
    </row>
    <row r="118" spans="1:18" x14ac:dyDescent="0.2">
      <c r="A118" s="49">
        <v>43381</v>
      </c>
      <c r="B118" t="s">
        <v>142</v>
      </c>
      <c r="C118" t="s">
        <v>18</v>
      </c>
      <c r="D118" t="s">
        <v>38</v>
      </c>
      <c r="F118" t="s">
        <v>180</v>
      </c>
      <c r="G118" t="s">
        <v>58</v>
      </c>
      <c r="H118" t="s">
        <v>59</v>
      </c>
      <c r="I118" s="49">
        <v>43672</v>
      </c>
      <c r="J118" s="47">
        <v>160000000</v>
      </c>
      <c r="K118">
        <v>558904.11</v>
      </c>
      <c r="L118">
        <v>160000000</v>
      </c>
      <c r="M118">
        <v>0.78663499999999997</v>
      </c>
      <c r="N118">
        <v>1.7</v>
      </c>
      <c r="O118" t="s">
        <v>42</v>
      </c>
      <c r="P118" t="s">
        <v>23</v>
      </c>
      <c r="Q118" s="49">
        <v>43307</v>
      </c>
      <c r="R118" s="49" t="str">
        <f>DataTable[HLD_Portfolio]&amp;DataTable[HLD_Date]</f>
        <v>SCBSFFPLUS43381</v>
      </c>
    </row>
    <row r="119" spans="1:18" x14ac:dyDescent="0.2">
      <c r="A119" s="49">
        <v>43381</v>
      </c>
      <c r="B119" t="s">
        <v>142</v>
      </c>
      <c r="C119" t="s">
        <v>18</v>
      </c>
      <c r="D119" t="s">
        <v>38</v>
      </c>
      <c r="F119" t="s">
        <v>181</v>
      </c>
      <c r="G119" t="s">
        <v>182</v>
      </c>
      <c r="H119" t="s">
        <v>51</v>
      </c>
      <c r="I119" s="49">
        <v>43739</v>
      </c>
      <c r="J119" s="47">
        <v>2969370000</v>
      </c>
      <c r="K119">
        <v>3926167</v>
      </c>
      <c r="L119">
        <v>2914650000</v>
      </c>
      <c r="M119">
        <v>0.96195900000000001</v>
      </c>
      <c r="N119">
        <v>3.4</v>
      </c>
      <c r="O119" t="s">
        <v>42</v>
      </c>
      <c r="P119" t="s">
        <v>37</v>
      </c>
      <c r="Q119" s="49">
        <v>43368</v>
      </c>
      <c r="R119" s="49" t="str">
        <f>DataTable[HLD_Portfolio]&amp;DataTable[HLD_Date]</f>
        <v>SCBSFFPLUS43381</v>
      </c>
    </row>
    <row r="120" spans="1:18" x14ac:dyDescent="0.2">
      <c r="A120" s="49">
        <v>43381</v>
      </c>
      <c r="B120" t="s">
        <v>142</v>
      </c>
      <c r="C120" t="s">
        <v>18</v>
      </c>
      <c r="D120" t="s">
        <v>38</v>
      </c>
      <c r="F120" t="s">
        <v>183</v>
      </c>
      <c r="G120" t="s">
        <v>182</v>
      </c>
      <c r="H120" t="s">
        <v>51</v>
      </c>
      <c r="I120" s="49">
        <v>43740</v>
      </c>
      <c r="J120" s="47">
        <v>2969370000</v>
      </c>
      <c r="K120">
        <v>3645726.5</v>
      </c>
      <c r="L120">
        <v>2922750000</v>
      </c>
      <c r="M120">
        <v>0.96455500000000005</v>
      </c>
      <c r="N120">
        <v>3.4</v>
      </c>
      <c r="O120" t="s">
        <v>42</v>
      </c>
      <c r="P120" t="s">
        <v>37</v>
      </c>
      <c r="Q120" s="49">
        <v>43369</v>
      </c>
      <c r="R120" s="49" t="str">
        <f>DataTable[HLD_Portfolio]&amp;DataTable[HLD_Date]</f>
        <v>SCBSFFPLUS43381</v>
      </c>
    </row>
    <row r="121" spans="1:18" x14ac:dyDescent="0.2">
      <c r="A121" s="49">
        <v>43381</v>
      </c>
      <c r="B121" t="s">
        <v>142</v>
      </c>
      <c r="C121" t="s">
        <v>18</v>
      </c>
      <c r="D121" t="s">
        <v>38</v>
      </c>
      <c r="F121" t="s">
        <v>67</v>
      </c>
      <c r="G121" t="s">
        <v>46</v>
      </c>
      <c r="H121" t="s">
        <v>47</v>
      </c>
      <c r="I121" s="49">
        <v>43389</v>
      </c>
      <c r="J121" s="47">
        <v>1319720000</v>
      </c>
      <c r="K121">
        <v>9168021.5199999996</v>
      </c>
      <c r="L121">
        <v>1326400000</v>
      </c>
      <c r="M121">
        <v>2.2207999999999999E-2</v>
      </c>
      <c r="N121">
        <v>2.81</v>
      </c>
      <c r="O121" t="s">
        <v>42</v>
      </c>
      <c r="P121" t="s">
        <v>37</v>
      </c>
      <c r="Q121" s="49">
        <v>43293</v>
      </c>
      <c r="R121" s="49" t="str">
        <f>DataTable[HLD_Portfolio]&amp;DataTable[HLD_Date]</f>
        <v>SCBSFFPLUS43381</v>
      </c>
    </row>
    <row r="122" spans="1:18" x14ac:dyDescent="0.2">
      <c r="A122" s="49">
        <v>43381</v>
      </c>
      <c r="B122" t="s">
        <v>142</v>
      </c>
      <c r="C122" t="s">
        <v>18</v>
      </c>
      <c r="D122" t="s">
        <v>38</v>
      </c>
      <c r="F122" t="s">
        <v>184</v>
      </c>
      <c r="G122" t="s">
        <v>46</v>
      </c>
      <c r="H122" t="s">
        <v>47</v>
      </c>
      <c r="I122" s="49">
        <v>43395</v>
      </c>
      <c r="J122" s="47">
        <v>1685480000</v>
      </c>
      <c r="K122">
        <v>8827297.4499999993</v>
      </c>
      <c r="L122">
        <v>1698400000</v>
      </c>
      <c r="M122">
        <v>3.8322000000000002E-2</v>
      </c>
      <c r="N122">
        <v>2.36</v>
      </c>
      <c r="O122" t="s">
        <v>42</v>
      </c>
      <c r="P122" t="s">
        <v>33</v>
      </c>
      <c r="Q122" s="49">
        <v>43301</v>
      </c>
      <c r="R122" s="49" t="str">
        <f>DataTable[HLD_Portfolio]&amp;DataTable[HLD_Date]</f>
        <v>SCBSFFPLUS43381</v>
      </c>
    </row>
    <row r="123" spans="1:18" x14ac:dyDescent="0.2">
      <c r="A123" s="49">
        <v>43381</v>
      </c>
      <c r="B123" t="s">
        <v>142</v>
      </c>
      <c r="C123" t="s">
        <v>18</v>
      </c>
      <c r="D123" t="s">
        <v>38</v>
      </c>
      <c r="F123" t="s">
        <v>185</v>
      </c>
      <c r="G123" t="s">
        <v>46</v>
      </c>
      <c r="H123" t="s">
        <v>47</v>
      </c>
      <c r="I123" s="49">
        <v>43536</v>
      </c>
      <c r="J123" s="47">
        <v>1306247000</v>
      </c>
      <c r="K123">
        <v>2281458.7999999998</v>
      </c>
      <c r="L123">
        <v>1296265000</v>
      </c>
      <c r="M123">
        <v>0.42011599999999999</v>
      </c>
      <c r="N123">
        <v>2.5499999999999998</v>
      </c>
      <c r="O123" t="s">
        <v>42</v>
      </c>
      <c r="P123" t="s">
        <v>33</v>
      </c>
      <c r="Q123" s="49">
        <v>43357</v>
      </c>
      <c r="R123" s="49" t="str">
        <f>DataTable[HLD_Portfolio]&amp;DataTable[HLD_Date]</f>
        <v>SCBSFFPLUS43381</v>
      </c>
    </row>
    <row r="124" spans="1:18" x14ac:dyDescent="0.2">
      <c r="A124" s="49">
        <v>43381</v>
      </c>
      <c r="B124" t="s">
        <v>142</v>
      </c>
      <c r="C124" t="s">
        <v>18</v>
      </c>
      <c r="D124" t="s">
        <v>38</v>
      </c>
      <c r="F124" t="s">
        <v>186</v>
      </c>
      <c r="G124" t="s">
        <v>50</v>
      </c>
      <c r="H124" t="s">
        <v>51</v>
      </c>
      <c r="I124" s="49">
        <v>43398</v>
      </c>
      <c r="J124" s="47">
        <v>1319720000</v>
      </c>
      <c r="K124">
        <v>18366103.329999998</v>
      </c>
      <c r="L124">
        <v>1258000000</v>
      </c>
      <c r="M124">
        <v>4.7156000000000003E-2</v>
      </c>
      <c r="N124">
        <v>3</v>
      </c>
      <c r="O124" t="s">
        <v>42</v>
      </c>
      <c r="P124" t="s">
        <v>37</v>
      </c>
      <c r="Q124" s="49">
        <v>43215</v>
      </c>
      <c r="R124" s="49" t="str">
        <f>DataTable[HLD_Portfolio]&amp;DataTable[HLD_Date]</f>
        <v>SCBSFFPLUS43381</v>
      </c>
    </row>
    <row r="125" spans="1:18" x14ac:dyDescent="0.2">
      <c r="A125" s="49">
        <v>43381</v>
      </c>
      <c r="B125" t="s">
        <v>142</v>
      </c>
      <c r="C125" t="s">
        <v>18</v>
      </c>
      <c r="D125" t="s">
        <v>38</v>
      </c>
      <c r="F125" t="s">
        <v>187</v>
      </c>
      <c r="G125" t="s">
        <v>50</v>
      </c>
      <c r="H125" t="s">
        <v>51</v>
      </c>
      <c r="I125" s="49">
        <v>43430</v>
      </c>
      <c r="J125" s="47">
        <v>1649650000</v>
      </c>
      <c r="K125">
        <v>18970975</v>
      </c>
      <c r="L125">
        <v>1603000000</v>
      </c>
      <c r="M125">
        <v>0.13556399999999999</v>
      </c>
      <c r="N125">
        <v>3</v>
      </c>
      <c r="O125" t="s">
        <v>42</v>
      </c>
      <c r="P125" t="s">
        <v>37</v>
      </c>
      <c r="Q125" s="49">
        <v>43244</v>
      </c>
      <c r="R125" s="49" t="str">
        <f>DataTable[HLD_Portfolio]&amp;DataTable[HLD_Date]</f>
        <v>SCBSFFPLUS43381</v>
      </c>
    </row>
    <row r="126" spans="1:18" x14ac:dyDescent="0.2">
      <c r="A126" s="49">
        <v>43381</v>
      </c>
      <c r="B126" t="s">
        <v>142</v>
      </c>
      <c r="C126" t="s">
        <v>18</v>
      </c>
      <c r="D126" t="s">
        <v>38</v>
      </c>
      <c r="F126" t="s">
        <v>68</v>
      </c>
      <c r="G126" t="s">
        <v>54</v>
      </c>
      <c r="H126" t="s">
        <v>47</v>
      </c>
      <c r="I126" s="49">
        <v>43409</v>
      </c>
      <c r="J126" s="47">
        <v>2839582500</v>
      </c>
      <c r="K126">
        <v>501659.58</v>
      </c>
      <c r="L126">
        <v>2850000000</v>
      </c>
      <c r="M126">
        <v>7.7774999999999997E-2</v>
      </c>
      <c r="N126">
        <v>0.04</v>
      </c>
      <c r="O126" t="s">
        <v>42</v>
      </c>
      <c r="P126" t="s">
        <v>31</v>
      </c>
      <c r="Q126" s="49">
        <v>43223</v>
      </c>
      <c r="R126" s="49" t="str">
        <f>DataTable[HLD_Portfolio]&amp;DataTable[HLD_Date]</f>
        <v>SCBSFFPLUS43381</v>
      </c>
    </row>
    <row r="127" spans="1:18" x14ac:dyDescent="0.2">
      <c r="A127" s="49">
        <v>43381</v>
      </c>
      <c r="B127" t="s">
        <v>142</v>
      </c>
      <c r="C127" t="s">
        <v>18</v>
      </c>
      <c r="D127" t="s">
        <v>38</v>
      </c>
      <c r="F127" t="s">
        <v>188</v>
      </c>
      <c r="G127" t="s">
        <v>54</v>
      </c>
      <c r="H127" t="s">
        <v>47</v>
      </c>
      <c r="I127" s="49">
        <v>43423</v>
      </c>
      <c r="J127" s="47">
        <v>1649650000</v>
      </c>
      <c r="K127">
        <v>19401716.940000001</v>
      </c>
      <c r="L127">
        <v>1596250000</v>
      </c>
      <c r="M127">
        <v>0.116275</v>
      </c>
      <c r="N127">
        <v>2.92</v>
      </c>
      <c r="O127" t="s">
        <v>42</v>
      </c>
      <c r="P127" t="s">
        <v>37</v>
      </c>
      <c r="Q127" s="49">
        <v>43237</v>
      </c>
      <c r="R127" s="49" t="str">
        <f>DataTable[HLD_Portfolio]&amp;DataTable[HLD_Date]</f>
        <v>SCBSFFPLUS43381</v>
      </c>
    </row>
    <row r="128" spans="1:18" x14ac:dyDescent="0.2">
      <c r="A128" s="49">
        <v>43381</v>
      </c>
      <c r="B128" t="s">
        <v>142</v>
      </c>
      <c r="C128" t="s">
        <v>18</v>
      </c>
      <c r="D128" t="s">
        <v>38</v>
      </c>
      <c r="F128" t="s">
        <v>189</v>
      </c>
      <c r="G128" t="s">
        <v>54</v>
      </c>
      <c r="H128" t="s">
        <v>47</v>
      </c>
      <c r="I128" s="49">
        <v>43424</v>
      </c>
      <c r="J128" s="47">
        <v>461902000</v>
      </c>
      <c r="K128">
        <v>5395015.3600000003</v>
      </c>
      <c r="L128">
        <v>449330000</v>
      </c>
      <c r="M128">
        <v>0.119034</v>
      </c>
      <c r="N128">
        <v>2.92</v>
      </c>
      <c r="O128" t="s">
        <v>42</v>
      </c>
      <c r="P128" t="s">
        <v>37</v>
      </c>
      <c r="Q128" s="49">
        <v>43238</v>
      </c>
      <c r="R128" s="49" t="str">
        <f>DataTable[HLD_Portfolio]&amp;DataTable[HLD_Date]</f>
        <v>SCBSFFPLUS43381</v>
      </c>
    </row>
    <row r="129" spans="1:18" x14ac:dyDescent="0.2">
      <c r="A129" s="49">
        <v>43381</v>
      </c>
      <c r="B129" t="s">
        <v>142</v>
      </c>
      <c r="C129" t="s">
        <v>18</v>
      </c>
      <c r="D129" t="s">
        <v>38</v>
      </c>
      <c r="F129" t="s">
        <v>190</v>
      </c>
      <c r="G129" t="s">
        <v>73</v>
      </c>
      <c r="H129" t="s">
        <v>27</v>
      </c>
      <c r="I129" s="49">
        <v>44196</v>
      </c>
      <c r="J129" s="47">
        <v>9535.0499999999993</v>
      </c>
      <c r="K129">
        <v>9.8000000000000007</v>
      </c>
      <c r="L129">
        <v>9535.0499999999993</v>
      </c>
      <c r="M129">
        <v>0</v>
      </c>
      <c r="N129">
        <v>0</v>
      </c>
      <c r="O129" t="s">
        <v>42</v>
      </c>
      <c r="P129" t="s">
        <v>23</v>
      </c>
      <c r="Q129" s="49">
        <v>41946</v>
      </c>
      <c r="R129" s="49" t="str">
        <f>DataTable[HLD_Portfolio]&amp;DataTable[HLD_Date]</f>
        <v>SCBSFFPLUS43381</v>
      </c>
    </row>
    <row r="130" spans="1:18" x14ac:dyDescent="0.2">
      <c r="A130" s="49">
        <v>43381</v>
      </c>
      <c r="B130" t="s">
        <v>142</v>
      </c>
      <c r="C130" t="s">
        <v>18</v>
      </c>
      <c r="D130" t="s">
        <v>38</v>
      </c>
      <c r="F130" t="s">
        <v>191</v>
      </c>
      <c r="G130" t="s">
        <v>26</v>
      </c>
      <c r="H130" t="s">
        <v>27</v>
      </c>
      <c r="I130" s="49">
        <v>44196</v>
      </c>
      <c r="J130" s="47">
        <v>74680838.040000007</v>
      </c>
      <c r="K130">
        <v>51861.7</v>
      </c>
      <c r="L130">
        <v>85887038.310000002</v>
      </c>
      <c r="M130">
        <v>0</v>
      </c>
      <c r="N130">
        <v>0</v>
      </c>
      <c r="O130" t="s">
        <v>42</v>
      </c>
      <c r="P130" t="s">
        <v>28</v>
      </c>
      <c r="Q130" s="49">
        <v>41614</v>
      </c>
      <c r="R130" s="49" t="str">
        <f>DataTable[HLD_Portfolio]&amp;DataTable[HLD_Date]</f>
        <v>SCBSFFPLUS43381</v>
      </c>
    </row>
    <row r="131" spans="1:18" x14ac:dyDescent="0.2">
      <c r="A131" s="49">
        <v>43381</v>
      </c>
      <c r="B131" t="s">
        <v>142</v>
      </c>
      <c r="C131" t="s">
        <v>18</v>
      </c>
      <c r="D131" t="s">
        <v>38</v>
      </c>
      <c r="F131" t="s">
        <v>192</v>
      </c>
      <c r="G131" t="s">
        <v>26</v>
      </c>
      <c r="H131" t="s">
        <v>27</v>
      </c>
      <c r="I131" s="49">
        <v>44196</v>
      </c>
      <c r="J131" s="47">
        <v>124022343.58</v>
      </c>
      <c r="K131">
        <v>17225.32</v>
      </c>
      <c r="L131">
        <v>129319397.17</v>
      </c>
      <c r="M131">
        <v>0</v>
      </c>
      <c r="N131">
        <v>0</v>
      </c>
      <c r="O131" t="s">
        <v>42</v>
      </c>
      <c r="P131" t="s">
        <v>37</v>
      </c>
      <c r="Q131" s="49">
        <v>41617</v>
      </c>
      <c r="R131" s="49" t="str">
        <f>DataTable[HLD_Portfolio]&amp;DataTable[HLD_Date]</f>
        <v>SCBSFFPLUS43381</v>
      </c>
    </row>
    <row r="132" spans="1:18" x14ac:dyDescent="0.2">
      <c r="A132" s="49">
        <v>43381</v>
      </c>
      <c r="B132" t="s">
        <v>142</v>
      </c>
      <c r="C132" t="s">
        <v>18</v>
      </c>
      <c r="D132" t="s">
        <v>38</v>
      </c>
      <c r="F132" t="s">
        <v>193</v>
      </c>
      <c r="G132" t="s">
        <v>75</v>
      </c>
      <c r="H132" t="s">
        <v>59</v>
      </c>
      <c r="I132" s="49">
        <v>44196</v>
      </c>
      <c r="J132" s="47">
        <v>857730392.33000004</v>
      </c>
      <c r="K132">
        <v>1476206.39</v>
      </c>
      <c r="L132">
        <v>857730392.33000004</v>
      </c>
      <c r="M132">
        <v>0</v>
      </c>
      <c r="N132">
        <v>0</v>
      </c>
      <c r="O132" t="s">
        <v>42</v>
      </c>
      <c r="P132" t="s">
        <v>23</v>
      </c>
      <c r="Q132" s="49">
        <v>41652</v>
      </c>
      <c r="R132" s="49" t="str">
        <f>DataTable[HLD_Portfolio]&amp;DataTable[HLD_Date]</f>
        <v>SCBSFFPLUS43381</v>
      </c>
    </row>
    <row r="133" spans="1:18" x14ac:dyDescent="0.2">
      <c r="A133" s="49">
        <v>43381</v>
      </c>
      <c r="B133" t="s">
        <v>142</v>
      </c>
      <c r="C133" t="s">
        <v>18</v>
      </c>
      <c r="D133" t="s">
        <v>38</v>
      </c>
      <c r="F133" t="s">
        <v>76</v>
      </c>
      <c r="G133" t="s">
        <v>26</v>
      </c>
      <c r="H133" t="s">
        <v>27</v>
      </c>
      <c r="I133" s="49">
        <v>43468</v>
      </c>
      <c r="J133" s="47">
        <v>1500000000</v>
      </c>
      <c r="K133">
        <v>1171232.8799999999</v>
      </c>
      <c r="L133">
        <v>1500000000</v>
      </c>
      <c r="M133">
        <v>0.237508</v>
      </c>
      <c r="N133">
        <v>1.5</v>
      </c>
      <c r="O133" t="s">
        <v>42</v>
      </c>
      <c r="P133" t="s">
        <v>23</v>
      </c>
      <c r="Q133" s="49">
        <v>43363</v>
      </c>
      <c r="R133" s="49" t="str">
        <f>DataTable[HLD_Portfolio]&amp;DataTable[HLD_Date]</f>
        <v>SCBSFFPLUS43381</v>
      </c>
    </row>
    <row r="134" spans="1:18" x14ac:dyDescent="0.2">
      <c r="A134" s="49">
        <v>43381</v>
      </c>
      <c r="B134" t="s">
        <v>142</v>
      </c>
      <c r="C134" t="s">
        <v>18</v>
      </c>
      <c r="D134" t="s">
        <v>77</v>
      </c>
      <c r="F134" t="s">
        <v>194</v>
      </c>
      <c r="G134" t="s">
        <v>195</v>
      </c>
      <c r="H134" t="s">
        <v>51</v>
      </c>
      <c r="I134" s="49">
        <v>43502</v>
      </c>
      <c r="J134" s="47">
        <v>1352624230.4000001</v>
      </c>
      <c r="L134">
        <v>1352441147.2</v>
      </c>
      <c r="M134">
        <v>0.326984</v>
      </c>
      <c r="N134">
        <v>1.7</v>
      </c>
      <c r="O134" t="s">
        <v>42</v>
      </c>
      <c r="P134" t="s">
        <v>23</v>
      </c>
      <c r="Q134" s="49">
        <v>43318</v>
      </c>
      <c r="R134" s="49" t="str">
        <f>DataTable[HLD_Portfolio]&amp;DataTable[HLD_Date]</f>
        <v>SCBSFFPLUS43381</v>
      </c>
    </row>
    <row r="135" spans="1:18" x14ac:dyDescent="0.2">
      <c r="A135" s="49">
        <v>43381</v>
      </c>
      <c r="B135" t="s">
        <v>142</v>
      </c>
      <c r="C135" t="s">
        <v>18</v>
      </c>
      <c r="D135" t="s">
        <v>77</v>
      </c>
      <c r="F135" t="s">
        <v>196</v>
      </c>
      <c r="G135" t="s">
        <v>197</v>
      </c>
      <c r="H135" t="s">
        <v>47</v>
      </c>
      <c r="I135" s="49">
        <v>43424</v>
      </c>
      <c r="J135" s="47">
        <v>299388306</v>
      </c>
      <c r="L135">
        <v>299397105</v>
      </c>
      <c r="M135">
        <v>0.11484</v>
      </c>
      <c r="N135">
        <v>1.75</v>
      </c>
      <c r="O135" t="s">
        <v>42</v>
      </c>
      <c r="P135" t="s">
        <v>23</v>
      </c>
      <c r="Q135" s="49">
        <v>43328</v>
      </c>
      <c r="R135" s="49" t="str">
        <f>DataTable[HLD_Portfolio]&amp;DataTable[HLD_Date]</f>
        <v>SCBSFFPLUS43381</v>
      </c>
    </row>
    <row r="136" spans="1:18" x14ac:dyDescent="0.2">
      <c r="A136" s="49">
        <v>43381</v>
      </c>
      <c r="B136" t="s">
        <v>142</v>
      </c>
      <c r="C136" t="s">
        <v>18</v>
      </c>
      <c r="D136" t="s">
        <v>77</v>
      </c>
      <c r="F136" t="s">
        <v>198</v>
      </c>
      <c r="G136" t="s">
        <v>199</v>
      </c>
      <c r="H136" t="s">
        <v>51</v>
      </c>
      <c r="I136" s="49">
        <v>43447</v>
      </c>
      <c r="J136" s="47">
        <v>1994324340</v>
      </c>
      <c r="L136">
        <v>1994370680</v>
      </c>
      <c r="M136">
        <v>0.177565</v>
      </c>
      <c r="N136">
        <v>1.585</v>
      </c>
      <c r="O136" t="s">
        <v>42</v>
      </c>
      <c r="P136" t="s">
        <v>23</v>
      </c>
      <c r="Q136" s="49">
        <v>43207</v>
      </c>
      <c r="R136" s="49" t="str">
        <f>DataTable[HLD_Portfolio]&amp;DataTable[HLD_Date]</f>
        <v>SCBSFFPLUS43381</v>
      </c>
    </row>
    <row r="137" spans="1:18" x14ac:dyDescent="0.2">
      <c r="A137" s="49">
        <v>43381</v>
      </c>
      <c r="B137" t="s">
        <v>142</v>
      </c>
      <c r="C137" t="s">
        <v>18</v>
      </c>
      <c r="D137" t="s">
        <v>77</v>
      </c>
      <c r="F137" t="s">
        <v>200</v>
      </c>
      <c r="G137" t="s">
        <v>199</v>
      </c>
      <c r="H137" t="s">
        <v>51</v>
      </c>
      <c r="I137" s="49">
        <v>43494</v>
      </c>
      <c r="J137" s="47">
        <v>397852764</v>
      </c>
      <c r="L137">
        <v>397742132</v>
      </c>
      <c r="M137">
        <v>0.30520199999999997</v>
      </c>
      <c r="N137">
        <v>1.85</v>
      </c>
      <c r="O137" t="s">
        <v>42</v>
      </c>
      <c r="P137" t="s">
        <v>23</v>
      </c>
      <c r="Q137" s="49">
        <v>43360</v>
      </c>
      <c r="R137" s="49" t="str">
        <f>DataTable[HLD_Portfolio]&amp;DataTable[HLD_Date]</f>
        <v>SCBSFFPLUS43381</v>
      </c>
    </row>
    <row r="138" spans="1:18" x14ac:dyDescent="0.2">
      <c r="A138" s="49">
        <v>43381</v>
      </c>
      <c r="B138" t="s">
        <v>142</v>
      </c>
      <c r="C138" t="s">
        <v>18</v>
      </c>
      <c r="D138" t="s">
        <v>77</v>
      </c>
      <c r="F138" t="s">
        <v>201</v>
      </c>
      <c r="G138" t="s">
        <v>202</v>
      </c>
      <c r="H138" t="s">
        <v>51</v>
      </c>
      <c r="I138" s="49">
        <v>43440</v>
      </c>
      <c r="J138" s="47">
        <v>1396536512</v>
      </c>
      <c r="L138">
        <v>1396338916</v>
      </c>
      <c r="M138">
        <v>0.15851000000000001</v>
      </c>
      <c r="N138">
        <v>1.65</v>
      </c>
      <c r="O138" t="s">
        <v>42</v>
      </c>
      <c r="P138" t="s">
        <v>23</v>
      </c>
      <c r="Q138" s="49">
        <v>43174</v>
      </c>
      <c r="R138" s="49" t="str">
        <f>DataTable[HLD_Portfolio]&amp;DataTable[HLD_Date]</f>
        <v>SCBSFFPLUS43381</v>
      </c>
    </row>
    <row r="139" spans="1:18" x14ac:dyDescent="0.2">
      <c r="A139" s="49">
        <v>43381</v>
      </c>
      <c r="B139" t="s">
        <v>142</v>
      </c>
      <c r="C139" t="s">
        <v>18</v>
      </c>
      <c r="D139" t="s">
        <v>77</v>
      </c>
      <c r="F139" t="s">
        <v>203</v>
      </c>
      <c r="G139" t="s">
        <v>202</v>
      </c>
      <c r="H139" t="s">
        <v>51</v>
      </c>
      <c r="I139" s="49">
        <v>43550</v>
      </c>
      <c r="J139" s="47">
        <v>991552940</v>
      </c>
      <c r="L139">
        <v>992009570</v>
      </c>
      <c r="M139">
        <v>0.45638600000000001</v>
      </c>
      <c r="N139">
        <v>1.75</v>
      </c>
      <c r="O139" t="s">
        <v>42</v>
      </c>
      <c r="P139" t="s">
        <v>23</v>
      </c>
      <c r="Q139" s="49">
        <v>43326</v>
      </c>
      <c r="R139" s="49" t="str">
        <f>DataTable[HLD_Portfolio]&amp;DataTable[HLD_Date]</f>
        <v>SCBSFFPLUS43381</v>
      </c>
    </row>
    <row r="140" spans="1:18" x14ac:dyDescent="0.2">
      <c r="A140" s="49">
        <v>43381</v>
      </c>
      <c r="B140" t="s">
        <v>142</v>
      </c>
      <c r="C140" t="s">
        <v>18</v>
      </c>
      <c r="D140" t="s">
        <v>77</v>
      </c>
      <c r="F140" t="s">
        <v>204</v>
      </c>
      <c r="G140" t="s">
        <v>205</v>
      </c>
      <c r="H140" t="s">
        <v>206</v>
      </c>
      <c r="I140" s="49">
        <v>43417</v>
      </c>
      <c r="J140" s="47">
        <v>1497702150</v>
      </c>
      <c r="L140">
        <v>1497702150</v>
      </c>
      <c r="M140">
        <v>9.5748E-2</v>
      </c>
      <c r="N140">
        <v>1.6</v>
      </c>
      <c r="O140" t="s">
        <v>42</v>
      </c>
      <c r="P140" t="s">
        <v>23</v>
      </c>
      <c r="Q140" s="49">
        <v>43329</v>
      </c>
      <c r="R140" s="49" t="str">
        <f>DataTable[HLD_Portfolio]&amp;DataTable[HLD_Date]</f>
        <v>SCBSFFPLUS43381</v>
      </c>
    </row>
    <row r="141" spans="1:18" x14ac:dyDescent="0.2">
      <c r="A141" s="49">
        <v>43381</v>
      </c>
      <c r="B141" t="s">
        <v>142</v>
      </c>
      <c r="C141" t="s">
        <v>18</v>
      </c>
      <c r="D141" t="s">
        <v>77</v>
      </c>
      <c r="F141" t="s">
        <v>80</v>
      </c>
      <c r="G141" t="s">
        <v>81</v>
      </c>
      <c r="H141" t="s">
        <v>51</v>
      </c>
      <c r="I141" s="49">
        <v>43382</v>
      </c>
      <c r="J141" s="47">
        <v>1200000000</v>
      </c>
      <c r="L141">
        <v>1200000000</v>
      </c>
      <c r="M141">
        <v>2.7399999999999998E-3</v>
      </c>
      <c r="N141">
        <v>1.58</v>
      </c>
      <c r="O141" t="s">
        <v>42</v>
      </c>
      <c r="P141" t="s">
        <v>23</v>
      </c>
      <c r="Q141" s="49">
        <v>43320</v>
      </c>
      <c r="R141" s="49" t="str">
        <f>DataTable[HLD_Portfolio]&amp;DataTable[HLD_Date]</f>
        <v>SCBSFFPLUS43381</v>
      </c>
    </row>
    <row r="142" spans="1:18" x14ac:dyDescent="0.2">
      <c r="A142" s="49">
        <v>43381</v>
      </c>
      <c r="B142" t="s">
        <v>142</v>
      </c>
      <c r="C142" t="s">
        <v>18</v>
      </c>
      <c r="D142" t="s">
        <v>77</v>
      </c>
      <c r="F142" t="s">
        <v>207</v>
      </c>
      <c r="G142" t="s">
        <v>208</v>
      </c>
      <c r="H142" t="s">
        <v>29</v>
      </c>
      <c r="I142" s="49">
        <v>43397</v>
      </c>
      <c r="J142" s="47">
        <v>99923267</v>
      </c>
      <c r="L142">
        <v>99913773</v>
      </c>
      <c r="M142">
        <v>4.1064999999999997E-2</v>
      </c>
      <c r="N142">
        <v>2.1</v>
      </c>
      <c r="O142" t="s">
        <v>42</v>
      </c>
      <c r="P142" t="s">
        <v>23</v>
      </c>
      <c r="Q142" s="49">
        <v>43209</v>
      </c>
      <c r="R142" s="49" t="str">
        <f>DataTable[HLD_Portfolio]&amp;DataTable[HLD_Date]</f>
        <v>SCBSFFPLUS43381</v>
      </c>
    </row>
    <row r="143" spans="1:18" x14ac:dyDescent="0.2">
      <c r="A143" s="49">
        <v>43381</v>
      </c>
      <c r="B143" t="s">
        <v>142</v>
      </c>
      <c r="C143" t="s">
        <v>18</v>
      </c>
      <c r="D143" t="s">
        <v>77</v>
      </c>
      <c r="F143" t="s">
        <v>209</v>
      </c>
      <c r="G143" t="s">
        <v>84</v>
      </c>
      <c r="H143" t="s">
        <v>47</v>
      </c>
      <c r="I143" s="49">
        <v>43496</v>
      </c>
      <c r="J143" s="47">
        <v>696611809.25</v>
      </c>
      <c r="L143">
        <v>696573431.24000001</v>
      </c>
      <c r="M143">
        <v>0.31081700000000001</v>
      </c>
      <c r="N143">
        <v>1.575</v>
      </c>
      <c r="O143" t="s">
        <v>42</v>
      </c>
      <c r="P143" t="s">
        <v>23</v>
      </c>
      <c r="Q143" s="49">
        <v>43227</v>
      </c>
      <c r="R143" s="49" t="str">
        <f>DataTable[HLD_Portfolio]&amp;DataTable[HLD_Date]</f>
        <v>SCBSFFPLUS43381</v>
      </c>
    </row>
    <row r="144" spans="1:18" x14ac:dyDescent="0.2">
      <c r="A144" s="49">
        <v>43381</v>
      </c>
      <c r="B144" t="s">
        <v>142</v>
      </c>
      <c r="C144" t="s">
        <v>18</v>
      </c>
      <c r="D144" t="s">
        <v>77</v>
      </c>
      <c r="F144" t="s">
        <v>83</v>
      </c>
      <c r="G144" t="s">
        <v>84</v>
      </c>
      <c r="H144" t="s">
        <v>47</v>
      </c>
      <c r="I144" s="49">
        <v>43514</v>
      </c>
      <c r="J144" s="47">
        <v>845089388.5</v>
      </c>
      <c r="L144">
        <v>844866909.5</v>
      </c>
      <c r="M144">
        <v>0.35955500000000001</v>
      </c>
      <c r="N144">
        <v>1.68</v>
      </c>
      <c r="O144" t="s">
        <v>42</v>
      </c>
      <c r="P144" t="s">
        <v>23</v>
      </c>
      <c r="Q144" s="49">
        <v>43244</v>
      </c>
      <c r="R144" s="49" t="str">
        <f>DataTable[HLD_Portfolio]&amp;DataTable[HLD_Date]</f>
        <v>SCBSFFPLUS43381</v>
      </c>
    </row>
    <row r="145" spans="1:18" x14ac:dyDescent="0.2">
      <c r="A145" s="49">
        <v>43381</v>
      </c>
      <c r="B145" t="s">
        <v>142</v>
      </c>
      <c r="C145" t="s">
        <v>18</v>
      </c>
      <c r="D145" t="s">
        <v>85</v>
      </c>
      <c r="F145" t="s">
        <v>86</v>
      </c>
      <c r="G145" t="s">
        <v>87</v>
      </c>
      <c r="H145" t="s">
        <v>29</v>
      </c>
      <c r="I145" s="49">
        <v>43418</v>
      </c>
      <c r="J145" s="47">
        <v>1487215239.9300001</v>
      </c>
      <c r="L145">
        <v>1487191088.3499999</v>
      </c>
      <c r="M145">
        <v>9.8512000000000002E-2</v>
      </c>
      <c r="N145">
        <v>1.2332240000000001</v>
      </c>
      <c r="O145" t="s">
        <v>42</v>
      </c>
      <c r="P145" t="s">
        <v>23</v>
      </c>
      <c r="Q145" s="49">
        <v>43054</v>
      </c>
      <c r="R145" s="49" t="str">
        <f>DataTable[HLD_Portfolio]&amp;DataTable[HLD_Date]</f>
        <v>SCBSFFPLUS43381</v>
      </c>
    </row>
    <row r="146" spans="1:18" x14ac:dyDescent="0.2">
      <c r="A146" s="49">
        <v>43381</v>
      </c>
      <c r="B146" t="s">
        <v>142</v>
      </c>
      <c r="C146" t="s">
        <v>18</v>
      </c>
      <c r="D146" t="s">
        <v>85</v>
      </c>
      <c r="F146" t="s">
        <v>88</v>
      </c>
      <c r="G146" t="s">
        <v>87</v>
      </c>
      <c r="H146" t="s">
        <v>29</v>
      </c>
      <c r="I146" s="49">
        <v>43558</v>
      </c>
      <c r="J146" s="47">
        <v>1180989272.4000001</v>
      </c>
      <c r="L146">
        <v>1182518517.5999999</v>
      </c>
      <c r="M146">
        <v>0.47854099999999999</v>
      </c>
      <c r="N146">
        <v>1.312079</v>
      </c>
      <c r="O146" t="s">
        <v>42</v>
      </c>
      <c r="P146" t="s">
        <v>23</v>
      </c>
      <c r="Q146" s="49">
        <v>43194</v>
      </c>
      <c r="R146" s="49" t="str">
        <f>DataTable[HLD_Portfolio]&amp;DataTable[HLD_Date]</f>
        <v>SCBSFFPLUS43381</v>
      </c>
    </row>
    <row r="147" spans="1:18" x14ac:dyDescent="0.2">
      <c r="A147" s="49">
        <v>43381</v>
      </c>
      <c r="B147" t="s">
        <v>142</v>
      </c>
      <c r="C147" t="s">
        <v>18</v>
      </c>
      <c r="D147" t="s">
        <v>89</v>
      </c>
      <c r="F147" t="s">
        <v>90</v>
      </c>
      <c r="G147" t="s">
        <v>91</v>
      </c>
      <c r="I147" s="49">
        <v>43440</v>
      </c>
      <c r="J147" s="47">
        <v>6985569570</v>
      </c>
      <c r="L147">
        <v>6985097560</v>
      </c>
      <c r="M147">
        <v>0.158583</v>
      </c>
      <c r="N147">
        <v>1.3426100000000001</v>
      </c>
      <c r="O147" t="s">
        <v>42</v>
      </c>
      <c r="P147" t="s">
        <v>23</v>
      </c>
      <c r="Q147" s="49">
        <v>43349</v>
      </c>
      <c r="R147" s="49" t="str">
        <f>DataTable[HLD_Portfolio]&amp;DataTable[HLD_Date]</f>
        <v>SCBSFFPLUS43381</v>
      </c>
    </row>
    <row r="148" spans="1:18" x14ac:dyDescent="0.2">
      <c r="A148" s="49">
        <v>43381</v>
      </c>
      <c r="B148" t="s">
        <v>142</v>
      </c>
      <c r="C148" t="s">
        <v>18</v>
      </c>
      <c r="D148" t="s">
        <v>89</v>
      </c>
      <c r="F148" t="s">
        <v>210</v>
      </c>
      <c r="G148" t="s">
        <v>91</v>
      </c>
      <c r="I148" s="49">
        <v>43447</v>
      </c>
      <c r="J148" s="47">
        <v>569715786.74000001</v>
      </c>
      <c r="L148">
        <v>569715786.74000001</v>
      </c>
      <c r="M148">
        <v>0.17763799999999999</v>
      </c>
      <c r="N148">
        <v>1.265779</v>
      </c>
      <c r="O148" t="s">
        <v>42</v>
      </c>
      <c r="P148" t="s">
        <v>23</v>
      </c>
      <c r="Q148" s="49">
        <v>43265</v>
      </c>
      <c r="R148" s="49" t="str">
        <f>DataTable[HLD_Portfolio]&amp;DataTable[HLD_Date]</f>
        <v>SCBSFFPLUS43381</v>
      </c>
    </row>
    <row r="149" spans="1:18" x14ac:dyDescent="0.2">
      <c r="A149" s="49">
        <v>43381</v>
      </c>
      <c r="B149" t="s">
        <v>142</v>
      </c>
      <c r="C149" t="s">
        <v>18</v>
      </c>
      <c r="D149" t="s">
        <v>89</v>
      </c>
      <c r="F149" t="s">
        <v>92</v>
      </c>
      <c r="G149" t="s">
        <v>91</v>
      </c>
      <c r="I149" s="49">
        <v>43447</v>
      </c>
      <c r="J149" s="47">
        <v>5126467557.5299997</v>
      </c>
      <c r="L149">
        <v>5126364252.46</v>
      </c>
      <c r="M149">
        <v>0.177673</v>
      </c>
      <c r="N149">
        <v>1.165035</v>
      </c>
      <c r="O149" t="s">
        <v>42</v>
      </c>
      <c r="P149" t="s">
        <v>23</v>
      </c>
      <c r="Q149" s="49">
        <v>43356</v>
      </c>
      <c r="R149" s="49" t="str">
        <f>DataTable[HLD_Portfolio]&amp;DataTable[HLD_Date]</f>
        <v>SCBSFFPLUS43381</v>
      </c>
    </row>
    <row r="150" spans="1:18" x14ac:dyDescent="0.2">
      <c r="A150" s="49">
        <v>43381</v>
      </c>
      <c r="B150" t="s">
        <v>142</v>
      </c>
      <c r="C150" t="s">
        <v>18</v>
      </c>
      <c r="D150" t="s">
        <v>89</v>
      </c>
      <c r="F150" t="s">
        <v>93</v>
      </c>
      <c r="G150" t="s">
        <v>91</v>
      </c>
      <c r="I150" s="49">
        <v>43454</v>
      </c>
      <c r="J150" s="47">
        <v>4487889719.5</v>
      </c>
      <c r="L150">
        <v>4486813288.7600002</v>
      </c>
      <c r="M150">
        <v>0.19673199999999999</v>
      </c>
      <c r="N150">
        <v>1.376922</v>
      </c>
      <c r="O150" t="s">
        <v>42</v>
      </c>
      <c r="P150" t="s">
        <v>23</v>
      </c>
      <c r="Q150" s="49">
        <v>43363</v>
      </c>
      <c r="R150" s="49" t="str">
        <f>DataTable[HLD_Portfolio]&amp;DataTable[HLD_Date]</f>
        <v>SCBSFFPLUS43381</v>
      </c>
    </row>
    <row r="151" spans="1:18" x14ac:dyDescent="0.2">
      <c r="A151" s="49">
        <v>43381</v>
      </c>
      <c r="B151" t="s">
        <v>142</v>
      </c>
      <c r="C151" t="s">
        <v>18</v>
      </c>
      <c r="D151" t="s">
        <v>89</v>
      </c>
      <c r="F151" t="s">
        <v>211</v>
      </c>
      <c r="G151" t="s">
        <v>91</v>
      </c>
      <c r="I151" s="49">
        <v>43461</v>
      </c>
      <c r="J151" s="47">
        <v>847468742.5</v>
      </c>
      <c r="L151">
        <v>847260305.5</v>
      </c>
      <c r="M151">
        <v>0.21576100000000001</v>
      </c>
      <c r="N151">
        <v>1.494</v>
      </c>
      <c r="O151" t="s">
        <v>42</v>
      </c>
      <c r="P151" t="s">
        <v>23</v>
      </c>
      <c r="Q151" s="49">
        <v>43370</v>
      </c>
      <c r="R151" s="49" t="str">
        <f>DataTable[HLD_Portfolio]&amp;DataTable[HLD_Date]</f>
        <v>SCBSFFPLUS43381</v>
      </c>
    </row>
    <row r="152" spans="1:18" x14ac:dyDescent="0.2">
      <c r="A152" s="49">
        <v>43381</v>
      </c>
      <c r="B152" t="s">
        <v>142</v>
      </c>
      <c r="C152" t="s">
        <v>18</v>
      </c>
      <c r="D152" t="s">
        <v>89</v>
      </c>
      <c r="F152" t="s">
        <v>212</v>
      </c>
      <c r="G152" t="s">
        <v>91</v>
      </c>
      <c r="I152" s="49">
        <v>43405</v>
      </c>
      <c r="J152" s="47">
        <v>885360157.38</v>
      </c>
      <c r="L152">
        <v>885360157.38</v>
      </c>
      <c r="M152">
        <v>6.2966999999999995E-2</v>
      </c>
      <c r="N152">
        <v>1.146879</v>
      </c>
      <c r="O152" t="s">
        <v>42</v>
      </c>
      <c r="P152" t="s">
        <v>23</v>
      </c>
      <c r="Q152" s="49">
        <v>43223</v>
      </c>
      <c r="R152" s="49" t="str">
        <f>DataTable[HLD_Portfolio]&amp;DataTable[HLD_Date]</f>
        <v>SCBSFFPLUS43381</v>
      </c>
    </row>
    <row r="153" spans="1:18" x14ac:dyDescent="0.2">
      <c r="A153" s="49">
        <v>43381</v>
      </c>
      <c r="B153" t="s">
        <v>142</v>
      </c>
      <c r="C153" t="s">
        <v>18</v>
      </c>
      <c r="D153" t="s">
        <v>89</v>
      </c>
      <c r="F153" t="s">
        <v>94</v>
      </c>
      <c r="G153" t="s">
        <v>91</v>
      </c>
      <c r="I153" s="49">
        <v>43405</v>
      </c>
      <c r="J153" s="47">
        <v>3077518259.1999998</v>
      </c>
      <c r="L153">
        <v>3077503937.1999998</v>
      </c>
      <c r="M153">
        <v>6.2966999999999995E-2</v>
      </c>
      <c r="N153">
        <v>1.2871360000000001</v>
      </c>
      <c r="O153" t="s">
        <v>42</v>
      </c>
      <c r="P153" t="s">
        <v>23</v>
      </c>
      <c r="Q153" s="49">
        <v>43314</v>
      </c>
      <c r="R153" s="49" t="str">
        <f>DataTable[HLD_Portfolio]&amp;DataTable[HLD_Date]</f>
        <v>SCBSFFPLUS43381</v>
      </c>
    </row>
    <row r="154" spans="1:18" x14ac:dyDescent="0.2">
      <c r="A154" s="49">
        <v>43381</v>
      </c>
      <c r="B154" t="s">
        <v>142</v>
      </c>
      <c r="C154" t="s">
        <v>18</v>
      </c>
      <c r="D154" t="s">
        <v>89</v>
      </c>
      <c r="F154" t="s">
        <v>95</v>
      </c>
      <c r="G154" t="s">
        <v>91</v>
      </c>
      <c r="I154" s="49">
        <v>43412</v>
      </c>
      <c r="J154" s="47">
        <v>880129122.69000006</v>
      </c>
      <c r="L154">
        <v>880129122.69000006</v>
      </c>
      <c r="M154">
        <v>8.2113000000000005E-2</v>
      </c>
      <c r="N154">
        <v>1.2038759999999999</v>
      </c>
      <c r="O154" t="s">
        <v>42</v>
      </c>
      <c r="P154" t="s">
        <v>23</v>
      </c>
      <c r="Q154" s="49">
        <v>43230</v>
      </c>
      <c r="R154" s="49" t="str">
        <f>DataTable[HLD_Portfolio]&amp;DataTable[HLD_Date]</f>
        <v>SCBSFFPLUS43381</v>
      </c>
    </row>
    <row r="155" spans="1:18" x14ac:dyDescent="0.2">
      <c r="A155" s="49">
        <v>43381</v>
      </c>
      <c r="B155" t="s">
        <v>142</v>
      </c>
      <c r="C155" t="s">
        <v>18</v>
      </c>
      <c r="D155" t="s">
        <v>89</v>
      </c>
      <c r="F155" t="s">
        <v>96</v>
      </c>
      <c r="G155" t="s">
        <v>91</v>
      </c>
      <c r="I155" s="49">
        <v>43412</v>
      </c>
      <c r="J155" s="47">
        <v>5693096633.8599997</v>
      </c>
      <c r="L155">
        <v>5693068195.8500004</v>
      </c>
      <c r="M155">
        <v>8.2112000000000004E-2</v>
      </c>
      <c r="N155">
        <v>1.267687</v>
      </c>
      <c r="O155" t="s">
        <v>42</v>
      </c>
      <c r="P155" t="s">
        <v>23</v>
      </c>
      <c r="Q155" s="49">
        <v>43321</v>
      </c>
      <c r="R155" s="49" t="str">
        <f>DataTable[HLD_Portfolio]&amp;DataTable[HLD_Date]</f>
        <v>SCBSFFPLUS43381</v>
      </c>
    </row>
    <row r="156" spans="1:18" x14ac:dyDescent="0.2">
      <c r="A156" s="49">
        <v>43381</v>
      </c>
      <c r="B156" t="s">
        <v>142</v>
      </c>
      <c r="C156" t="s">
        <v>18</v>
      </c>
      <c r="D156" t="s">
        <v>89</v>
      </c>
      <c r="F156" t="s">
        <v>97</v>
      </c>
      <c r="G156" t="s">
        <v>91</v>
      </c>
      <c r="I156" s="49">
        <v>43419</v>
      </c>
      <c r="J156" s="47">
        <v>624263743.75</v>
      </c>
      <c r="L156">
        <v>624263743.75</v>
      </c>
      <c r="M156">
        <v>0.10124900000000001</v>
      </c>
      <c r="N156">
        <v>1.1634640000000001</v>
      </c>
      <c r="O156" t="s">
        <v>42</v>
      </c>
      <c r="P156" t="s">
        <v>23</v>
      </c>
      <c r="Q156" s="49">
        <v>43237</v>
      </c>
      <c r="R156" s="49" t="str">
        <f>DataTable[HLD_Portfolio]&amp;DataTable[HLD_Date]</f>
        <v>SCBSFFPLUS43381</v>
      </c>
    </row>
    <row r="157" spans="1:18" x14ac:dyDescent="0.2">
      <c r="A157" s="49">
        <v>43381</v>
      </c>
      <c r="B157" t="s">
        <v>142</v>
      </c>
      <c r="C157" t="s">
        <v>18</v>
      </c>
      <c r="D157" t="s">
        <v>89</v>
      </c>
      <c r="F157" t="s">
        <v>98</v>
      </c>
      <c r="G157" t="s">
        <v>91</v>
      </c>
      <c r="I157" s="49">
        <v>43419</v>
      </c>
      <c r="J157" s="47">
        <v>7923912315.6999998</v>
      </c>
      <c r="L157">
        <v>7923903429.6199999</v>
      </c>
      <c r="M157">
        <v>0.10125000000000001</v>
      </c>
      <c r="N157">
        <v>1.2569760000000001</v>
      </c>
      <c r="O157" t="s">
        <v>42</v>
      </c>
      <c r="P157" t="s">
        <v>23</v>
      </c>
      <c r="Q157" s="49">
        <v>43328</v>
      </c>
      <c r="R157" s="49" t="str">
        <f>DataTable[HLD_Portfolio]&amp;DataTable[HLD_Date]</f>
        <v>SCBSFFPLUS43381</v>
      </c>
    </row>
    <row r="158" spans="1:18" x14ac:dyDescent="0.2">
      <c r="A158" s="49">
        <v>43381</v>
      </c>
      <c r="B158" t="s">
        <v>142</v>
      </c>
      <c r="C158" t="s">
        <v>18</v>
      </c>
      <c r="D158" t="s">
        <v>89</v>
      </c>
      <c r="F158" t="s">
        <v>99</v>
      </c>
      <c r="G158" t="s">
        <v>91</v>
      </c>
      <c r="I158" s="49">
        <v>43426</v>
      </c>
      <c r="J158" s="47">
        <v>2647075088.46</v>
      </c>
      <c r="L158">
        <v>2647075088.46</v>
      </c>
      <c r="M158">
        <v>0.120375</v>
      </c>
      <c r="N158">
        <v>1.23</v>
      </c>
      <c r="O158" t="s">
        <v>42</v>
      </c>
      <c r="P158" t="s">
        <v>23</v>
      </c>
      <c r="Q158" s="49">
        <v>43244</v>
      </c>
      <c r="R158" s="49" t="str">
        <f>DataTable[HLD_Portfolio]&amp;DataTable[HLD_Date]</f>
        <v>SCBSFFPLUS43381</v>
      </c>
    </row>
    <row r="159" spans="1:18" x14ac:dyDescent="0.2">
      <c r="A159" s="49">
        <v>43381</v>
      </c>
      <c r="B159" t="s">
        <v>142</v>
      </c>
      <c r="C159" t="s">
        <v>18</v>
      </c>
      <c r="D159" t="s">
        <v>89</v>
      </c>
      <c r="F159" t="s">
        <v>100</v>
      </c>
      <c r="G159" t="s">
        <v>91</v>
      </c>
      <c r="I159" s="49">
        <v>43426</v>
      </c>
      <c r="J159" s="47">
        <v>4737860673</v>
      </c>
      <c r="L159">
        <v>4737728999.25</v>
      </c>
      <c r="M159">
        <v>0.120375</v>
      </c>
      <c r="N159">
        <v>1.273101</v>
      </c>
      <c r="O159" t="s">
        <v>42</v>
      </c>
      <c r="P159" t="s">
        <v>23</v>
      </c>
      <c r="Q159" s="49">
        <v>43335</v>
      </c>
      <c r="R159" s="49" t="str">
        <f>DataTable[HLD_Portfolio]&amp;DataTable[HLD_Date]</f>
        <v>SCBSFFPLUS43381</v>
      </c>
    </row>
    <row r="160" spans="1:18" x14ac:dyDescent="0.2">
      <c r="A160" s="49">
        <v>43381</v>
      </c>
      <c r="B160" t="s">
        <v>142</v>
      </c>
      <c r="C160" t="s">
        <v>18</v>
      </c>
      <c r="D160" t="s">
        <v>89</v>
      </c>
      <c r="F160" t="s">
        <v>101</v>
      </c>
      <c r="G160" t="s">
        <v>91</v>
      </c>
      <c r="I160" s="49">
        <v>43433</v>
      </c>
      <c r="J160" s="47">
        <v>995316834.69000006</v>
      </c>
      <c r="L160">
        <v>995317064</v>
      </c>
      <c r="M160">
        <v>0.13947999999999999</v>
      </c>
      <c r="N160">
        <v>1.2101200000000001</v>
      </c>
      <c r="O160" t="s">
        <v>42</v>
      </c>
      <c r="P160" t="s">
        <v>23</v>
      </c>
      <c r="Q160" s="49">
        <v>43251</v>
      </c>
      <c r="R160" s="49" t="str">
        <f>DataTable[HLD_Portfolio]&amp;DataTable[HLD_Date]</f>
        <v>SCBSFFPLUS43381</v>
      </c>
    </row>
    <row r="161" spans="1:18" x14ac:dyDescent="0.2">
      <c r="A161" s="49">
        <v>43381</v>
      </c>
      <c r="B161" t="s">
        <v>142</v>
      </c>
      <c r="C161" t="s">
        <v>18</v>
      </c>
      <c r="D161" t="s">
        <v>89</v>
      </c>
      <c r="F161" t="s">
        <v>102</v>
      </c>
      <c r="G161" t="s">
        <v>91</v>
      </c>
      <c r="I161" s="49">
        <v>43433</v>
      </c>
      <c r="J161" s="47">
        <v>7047274012.7399998</v>
      </c>
      <c r="L161">
        <v>7046757788.0699997</v>
      </c>
      <c r="M161">
        <v>0.13949600000000001</v>
      </c>
      <c r="N161">
        <v>1.2433479999999999</v>
      </c>
      <c r="O161" t="s">
        <v>42</v>
      </c>
      <c r="P161" t="s">
        <v>23</v>
      </c>
      <c r="Q161" s="49">
        <v>43342</v>
      </c>
      <c r="R161" s="49" t="str">
        <f>DataTable[HLD_Portfolio]&amp;DataTable[HLD_Date]</f>
        <v>SCBSFFPLUS43381</v>
      </c>
    </row>
    <row r="162" spans="1:18" x14ac:dyDescent="0.2">
      <c r="A162" s="49">
        <v>43381</v>
      </c>
      <c r="B162" t="s">
        <v>142</v>
      </c>
      <c r="C162" t="s">
        <v>18</v>
      </c>
      <c r="D162" t="s">
        <v>89</v>
      </c>
      <c r="F162" t="s">
        <v>103</v>
      </c>
      <c r="G162" t="s">
        <v>91</v>
      </c>
      <c r="I162" s="49">
        <v>43382</v>
      </c>
      <c r="J162" s="47">
        <v>947000000</v>
      </c>
      <c r="L162">
        <v>947000000</v>
      </c>
      <c r="M162">
        <v>2.7399999999999998E-3</v>
      </c>
      <c r="N162">
        <v>1.16547</v>
      </c>
      <c r="O162" t="s">
        <v>42</v>
      </c>
      <c r="P162" t="s">
        <v>23</v>
      </c>
      <c r="Q162" s="49">
        <v>43368</v>
      </c>
      <c r="R162" s="49" t="str">
        <f>DataTable[HLD_Portfolio]&amp;DataTable[HLD_Date]</f>
        <v>SCBSFFPLUS43381</v>
      </c>
    </row>
    <row r="163" spans="1:18" x14ac:dyDescent="0.2">
      <c r="A163" s="49">
        <v>43381</v>
      </c>
      <c r="B163" t="s">
        <v>142</v>
      </c>
      <c r="C163" t="s">
        <v>18</v>
      </c>
      <c r="D163" t="s">
        <v>89</v>
      </c>
      <c r="F163" t="s">
        <v>104</v>
      </c>
      <c r="G163" t="s">
        <v>91</v>
      </c>
      <c r="I163" s="49">
        <v>43384</v>
      </c>
      <c r="J163" s="47">
        <v>451971736.44</v>
      </c>
      <c r="L163">
        <v>451971736.44</v>
      </c>
      <c r="M163">
        <v>5.4790000000000004E-3</v>
      </c>
      <c r="N163">
        <v>1.1412439999999999</v>
      </c>
      <c r="O163" t="s">
        <v>42</v>
      </c>
      <c r="P163" t="s">
        <v>23</v>
      </c>
      <c r="Q163" s="49">
        <v>43202</v>
      </c>
      <c r="R163" s="49" t="str">
        <f>DataTable[HLD_Portfolio]&amp;DataTable[HLD_Date]</f>
        <v>SCBSFFPLUS43381</v>
      </c>
    </row>
    <row r="164" spans="1:18" x14ac:dyDescent="0.2">
      <c r="A164" s="49">
        <v>43381</v>
      </c>
      <c r="B164" t="s">
        <v>142</v>
      </c>
      <c r="C164" t="s">
        <v>18</v>
      </c>
      <c r="D164" t="s">
        <v>89</v>
      </c>
      <c r="F164" t="s">
        <v>105</v>
      </c>
      <c r="G164" t="s">
        <v>91</v>
      </c>
      <c r="I164" s="49">
        <v>43384</v>
      </c>
      <c r="J164" s="47">
        <v>5125632260.7600002</v>
      </c>
      <c r="L164">
        <v>5125632106.9799995</v>
      </c>
      <c r="M164">
        <v>5.4790000000000004E-3</v>
      </c>
      <c r="N164">
        <v>1.309858</v>
      </c>
      <c r="O164" t="s">
        <v>42</v>
      </c>
      <c r="P164" t="s">
        <v>23</v>
      </c>
      <c r="Q164" s="49">
        <v>43293</v>
      </c>
      <c r="R164" s="49" t="str">
        <f>DataTable[HLD_Portfolio]&amp;DataTable[HLD_Date]</f>
        <v>SCBSFFPLUS43381</v>
      </c>
    </row>
    <row r="165" spans="1:18" x14ac:dyDescent="0.2">
      <c r="A165" s="49">
        <v>43381</v>
      </c>
      <c r="B165" t="s">
        <v>142</v>
      </c>
      <c r="C165" t="s">
        <v>18</v>
      </c>
      <c r="D165" t="s">
        <v>89</v>
      </c>
      <c r="F165" t="s">
        <v>106</v>
      </c>
      <c r="G165" t="s">
        <v>91</v>
      </c>
      <c r="I165" s="49">
        <v>43389</v>
      </c>
      <c r="J165" s="47">
        <v>5279873879.5600004</v>
      </c>
      <c r="L165">
        <v>5279873879.5600004</v>
      </c>
      <c r="M165">
        <v>1.9174E-2</v>
      </c>
      <c r="N165">
        <v>1.1121160000000001</v>
      </c>
      <c r="O165" t="s">
        <v>42</v>
      </c>
      <c r="P165" t="s">
        <v>23</v>
      </c>
      <c r="Q165" s="49">
        <v>43375</v>
      </c>
      <c r="R165" s="49" t="str">
        <f>DataTable[HLD_Portfolio]&amp;DataTable[HLD_Date]</f>
        <v>SCBSFFPLUS43381</v>
      </c>
    </row>
    <row r="166" spans="1:18" x14ac:dyDescent="0.2">
      <c r="A166" s="49">
        <v>43381</v>
      </c>
      <c r="B166" t="s">
        <v>142</v>
      </c>
      <c r="C166" t="s">
        <v>18</v>
      </c>
      <c r="D166" t="s">
        <v>89</v>
      </c>
      <c r="F166" t="s">
        <v>107</v>
      </c>
      <c r="G166" t="s">
        <v>91</v>
      </c>
      <c r="I166" s="49">
        <v>43391</v>
      </c>
      <c r="J166" s="47">
        <v>668808946.98000002</v>
      </c>
      <c r="L166">
        <v>668808946.98000002</v>
      </c>
      <c r="M166">
        <v>2.4650999999999999E-2</v>
      </c>
      <c r="N166">
        <v>1.15852</v>
      </c>
      <c r="O166" t="s">
        <v>42</v>
      </c>
      <c r="P166" t="s">
        <v>23</v>
      </c>
      <c r="Q166" s="49">
        <v>43209</v>
      </c>
      <c r="R166" s="49" t="str">
        <f>DataTable[HLD_Portfolio]&amp;DataTable[HLD_Date]</f>
        <v>SCBSFFPLUS43381</v>
      </c>
    </row>
    <row r="167" spans="1:18" x14ac:dyDescent="0.2">
      <c r="A167" s="49">
        <v>43381</v>
      </c>
      <c r="B167" t="s">
        <v>142</v>
      </c>
      <c r="C167" t="s">
        <v>18</v>
      </c>
      <c r="D167" t="s">
        <v>89</v>
      </c>
      <c r="F167" t="s">
        <v>108</v>
      </c>
      <c r="G167" t="s">
        <v>91</v>
      </c>
      <c r="I167" s="49">
        <v>43391</v>
      </c>
      <c r="J167" s="47">
        <v>6015044836.0200005</v>
      </c>
      <c r="L167">
        <v>6015003378.8900003</v>
      </c>
      <c r="M167">
        <v>2.4650999999999999E-2</v>
      </c>
      <c r="N167">
        <v>1.346217</v>
      </c>
      <c r="O167" t="s">
        <v>42</v>
      </c>
      <c r="P167" t="s">
        <v>23</v>
      </c>
      <c r="Q167" s="49">
        <v>43300</v>
      </c>
      <c r="R167" s="49" t="str">
        <f>DataTable[HLD_Portfolio]&amp;DataTable[HLD_Date]</f>
        <v>SCBSFFPLUS43381</v>
      </c>
    </row>
    <row r="168" spans="1:18" x14ac:dyDescent="0.2">
      <c r="A168" s="49">
        <v>43381</v>
      </c>
      <c r="B168" t="s">
        <v>142</v>
      </c>
      <c r="C168" t="s">
        <v>18</v>
      </c>
      <c r="D168" t="s">
        <v>89</v>
      </c>
      <c r="F168" t="s">
        <v>388</v>
      </c>
      <c r="G168" t="s">
        <v>91</v>
      </c>
      <c r="I168" s="49">
        <v>43397</v>
      </c>
      <c r="J168" s="47">
        <v>996533929.38999999</v>
      </c>
      <c r="L168">
        <v>996533929.38999999</v>
      </c>
      <c r="M168">
        <v>4.3836E-2</v>
      </c>
      <c r="N168">
        <v>1.138056</v>
      </c>
      <c r="O168" t="s">
        <v>42</v>
      </c>
      <c r="P168" t="s">
        <v>23</v>
      </c>
      <c r="Q168" s="49">
        <v>43382</v>
      </c>
      <c r="R168" s="49" t="str">
        <f>DataTable[HLD_Portfolio]&amp;DataTable[HLD_Date]</f>
        <v>SCBSFFPLUS43381</v>
      </c>
    </row>
    <row r="169" spans="1:18" x14ac:dyDescent="0.2">
      <c r="A169" s="49">
        <v>43381</v>
      </c>
      <c r="B169" t="s">
        <v>142</v>
      </c>
      <c r="C169" t="s">
        <v>18</v>
      </c>
      <c r="D169" t="s">
        <v>89</v>
      </c>
      <c r="F169" t="s">
        <v>109</v>
      </c>
      <c r="G169" t="s">
        <v>91</v>
      </c>
      <c r="I169" s="49">
        <v>43398</v>
      </c>
      <c r="J169" s="47">
        <v>409792195.60000002</v>
      </c>
      <c r="L169">
        <v>409792195.60000002</v>
      </c>
      <c r="M169">
        <v>4.3813999999999999E-2</v>
      </c>
      <c r="N169">
        <v>1.1568210000000001</v>
      </c>
      <c r="O169" t="s">
        <v>42</v>
      </c>
      <c r="P169" t="s">
        <v>23</v>
      </c>
      <c r="Q169" s="49">
        <v>43216</v>
      </c>
      <c r="R169" s="49" t="str">
        <f>DataTable[HLD_Portfolio]&amp;DataTable[HLD_Date]</f>
        <v>SCBSFFPLUS43381</v>
      </c>
    </row>
    <row r="170" spans="1:18" x14ac:dyDescent="0.2">
      <c r="A170" s="49">
        <v>43381</v>
      </c>
      <c r="B170" t="s">
        <v>142</v>
      </c>
      <c r="C170" t="s">
        <v>18</v>
      </c>
      <c r="D170" t="s">
        <v>89</v>
      </c>
      <c r="F170" t="s">
        <v>110</v>
      </c>
      <c r="G170" t="s">
        <v>91</v>
      </c>
      <c r="I170" s="49">
        <v>43398</v>
      </c>
      <c r="J170" s="47">
        <v>7016150372.3999996</v>
      </c>
      <c r="L170">
        <v>7015987859.3999996</v>
      </c>
      <c r="M170">
        <v>4.3812999999999998E-2</v>
      </c>
      <c r="N170">
        <v>1.304557</v>
      </c>
      <c r="O170" t="s">
        <v>42</v>
      </c>
      <c r="P170" t="s">
        <v>23</v>
      </c>
      <c r="Q170" s="49">
        <v>43307</v>
      </c>
      <c r="R170" s="49" t="str">
        <f>DataTable[HLD_Portfolio]&amp;DataTable[HLD_Date]</f>
        <v>SCBSFFPLUS43381</v>
      </c>
    </row>
    <row r="171" spans="1:18" x14ac:dyDescent="0.2">
      <c r="A171" s="49">
        <v>43381</v>
      </c>
      <c r="B171" t="s">
        <v>142</v>
      </c>
      <c r="C171" t="s">
        <v>18</v>
      </c>
      <c r="D171" t="s">
        <v>89</v>
      </c>
      <c r="F171" t="s">
        <v>213</v>
      </c>
      <c r="G171" t="s">
        <v>91</v>
      </c>
      <c r="I171" s="49">
        <v>43468</v>
      </c>
      <c r="J171" s="47">
        <v>302003802.66000003</v>
      </c>
      <c r="L171">
        <v>301937224.47000003</v>
      </c>
      <c r="M171">
        <v>0.234787</v>
      </c>
      <c r="N171">
        <v>1.4938940000000001</v>
      </c>
      <c r="O171" t="s">
        <v>42</v>
      </c>
      <c r="P171" t="s">
        <v>23</v>
      </c>
      <c r="Q171" s="49">
        <v>43286</v>
      </c>
      <c r="R171" s="49" t="str">
        <f>DataTable[HLD_Portfolio]&amp;DataTable[HLD_Date]</f>
        <v>SCBSFFPLUS43381</v>
      </c>
    </row>
    <row r="172" spans="1:18" x14ac:dyDescent="0.2">
      <c r="A172" s="49">
        <v>43381</v>
      </c>
      <c r="B172" t="s">
        <v>142</v>
      </c>
      <c r="C172" t="s">
        <v>18</v>
      </c>
      <c r="D172" t="s">
        <v>89</v>
      </c>
      <c r="F172" t="s">
        <v>111</v>
      </c>
      <c r="G172" t="s">
        <v>91</v>
      </c>
      <c r="I172" s="49">
        <v>43468</v>
      </c>
      <c r="J172" s="47">
        <v>6445674986.5200005</v>
      </c>
      <c r="L172">
        <v>6445367756.5200005</v>
      </c>
      <c r="M172">
        <v>0.23480300000000001</v>
      </c>
      <c r="N172">
        <v>1.4903040000000001</v>
      </c>
      <c r="O172" t="s">
        <v>42</v>
      </c>
      <c r="P172" t="s">
        <v>23</v>
      </c>
      <c r="Q172" s="49">
        <v>43377</v>
      </c>
      <c r="R172" s="49" t="str">
        <f>DataTable[HLD_Portfolio]&amp;DataTable[HLD_Date]</f>
        <v>SCBSFFPLUS43381</v>
      </c>
    </row>
    <row r="173" spans="1:18" x14ac:dyDescent="0.2">
      <c r="A173" s="49">
        <v>43381</v>
      </c>
      <c r="B173" t="s">
        <v>142</v>
      </c>
      <c r="C173" t="s">
        <v>18</v>
      </c>
      <c r="D173" t="s">
        <v>112</v>
      </c>
      <c r="F173" t="s">
        <v>255</v>
      </c>
      <c r="G173" t="s">
        <v>256</v>
      </c>
      <c r="H173" t="s">
        <v>51</v>
      </c>
      <c r="I173" s="49">
        <v>43454</v>
      </c>
      <c r="J173" s="47">
        <v>15089682.9</v>
      </c>
      <c r="K173">
        <v>209379.45</v>
      </c>
      <c r="L173">
        <v>15075648.75</v>
      </c>
      <c r="M173">
        <v>0.195768</v>
      </c>
      <c r="N173">
        <v>1.97</v>
      </c>
      <c r="O173" t="s">
        <v>42</v>
      </c>
      <c r="P173" t="s">
        <v>23</v>
      </c>
      <c r="Q173" s="49">
        <v>40897</v>
      </c>
      <c r="R173" s="49" t="str">
        <f>DataTable[HLD_Portfolio]&amp;DataTable[HLD_Date]</f>
        <v>SCBSFFPLUS43381</v>
      </c>
    </row>
    <row r="174" spans="1:18" x14ac:dyDescent="0.2">
      <c r="A174" s="49">
        <v>43381</v>
      </c>
      <c r="B174" t="s">
        <v>142</v>
      </c>
      <c r="C174" t="s">
        <v>18</v>
      </c>
      <c r="D174" t="s">
        <v>112</v>
      </c>
      <c r="F174" t="s">
        <v>257</v>
      </c>
      <c r="G174" t="s">
        <v>258</v>
      </c>
      <c r="H174" t="s">
        <v>51</v>
      </c>
      <c r="I174" s="49">
        <v>43990</v>
      </c>
      <c r="J174" s="47">
        <v>50047141</v>
      </c>
      <c r="K174">
        <v>456616.5</v>
      </c>
      <c r="L174">
        <v>50744372</v>
      </c>
      <c r="M174">
        <v>1.6034299999999999</v>
      </c>
      <c r="N174">
        <v>1.7949999999999999</v>
      </c>
      <c r="O174" t="s">
        <v>42</v>
      </c>
      <c r="P174" t="s">
        <v>23</v>
      </c>
      <c r="Q174" s="49">
        <v>42712</v>
      </c>
      <c r="R174" s="49" t="str">
        <f>DataTable[HLD_Portfolio]&amp;DataTable[HLD_Date]</f>
        <v>SCBSFFPLUS43381</v>
      </c>
    </row>
    <row r="175" spans="1:18" x14ac:dyDescent="0.2">
      <c r="A175" s="49">
        <v>43381</v>
      </c>
      <c r="B175" t="s">
        <v>142</v>
      </c>
      <c r="C175" t="s">
        <v>18</v>
      </c>
      <c r="D175" t="s">
        <v>112</v>
      </c>
      <c r="F175" t="s">
        <v>259</v>
      </c>
      <c r="G175" t="s">
        <v>260</v>
      </c>
      <c r="H175" t="s">
        <v>47</v>
      </c>
      <c r="I175" s="49">
        <v>43783</v>
      </c>
      <c r="J175" s="47">
        <v>8130013.5199999996</v>
      </c>
      <c r="K175">
        <v>114183.03999999999</v>
      </c>
      <c r="L175">
        <v>8152161.8399999999</v>
      </c>
      <c r="M175">
        <v>1.0625089999999999</v>
      </c>
      <c r="N175">
        <v>1.75</v>
      </c>
      <c r="O175" t="s">
        <v>42</v>
      </c>
      <c r="P175" t="s">
        <v>23</v>
      </c>
      <c r="Q175" s="49">
        <v>41957</v>
      </c>
      <c r="R175" s="49" t="str">
        <f>DataTable[HLD_Portfolio]&amp;DataTable[HLD_Date]</f>
        <v>SCBSFFPLUS43381</v>
      </c>
    </row>
    <row r="176" spans="1:18" x14ac:dyDescent="0.2">
      <c r="A176" s="49">
        <v>43381</v>
      </c>
      <c r="B176" t="s">
        <v>142</v>
      </c>
      <c r="C176" t="s">
        <v>18</v>
      </c>
      <c r="D176" t="s">
        <v>112</v>
      </c>
      <c r="F176" t="s">
        <v>113</v>
      </c>
      <c r="G176" t="s">
        <v>114</v>
      </c>
      <c r="H176" t="s">
        <v>51</v>
      </c>
      <c r="I176" s="49">
        <v>43404</v>
      </c>
      <c r="J176" s="47">
        <v>40067634.799999997</v>
      </c>
      <c r="K176">
        <v>834410.8</v>
      </c>
      <c r="L176">
        <v>40046761.200000003</v>
      </c>
      <c r="M176">
        <v>5.9806999999999999E-2</v>
      </c>
      <c r="N176">
        <v>2.4</v>
      </c>
      <c r="O176" t="s">
        <v>42</v>
      </c>
      <c r="P176" t="s">
        <v>23</v>
      </c>
      <c r="Q176" s="49">
        <v>41578</v>
      </c>
      <c r="R176" s="49" t="str">
        <f>DataTable[HLD_Portfolio]&amp;DataTable[HLD_Date]</f>
        <v>SCBSFFPLUS43381</v>
      </c>
    </row>
    <row r="177" spans="1:18" x14ac:dyDescent="0.2">
      <c r="A177" s="49">
        <v>43381</v>
      </c>
      <c r="B177" t="s">
        <v>142</v>
      </c>
      <c r="C177" t="s">
        <v>18</v>
      </c>
      <c r="D177" t="s">
        <v>112</v>
      </c>
      <c r="F177" t="s">
        <v>261</v>
      </c>
      <c r="G177" t="s">
        <v>114</v>
      </c>
      <c r="H177" t="s">
        <v>51</v>
      </c>
      <c r="I177" s="49">
        <v>43551</v>
      </c>
      <c r="J177" s="47">
        <v>1011087.9</v>
      </c>
      <c r="K177">
        <v>1413.7</v>
      </c>
      <c r="L177">
        <v>1007941.14</v>
      </c>
      <c r="M177">
        <v>0.45861099999999999</v>
      </c>
      <c r="N177">
        <v>2.6</v>
      </c>
      <c r="O177" t="s">
        <v>42</v>
      </c>
      <c r="P177" t="s">
        <v>23</v>
      </c>
      <c r="Q177" s="49">
        <v>41725</v>
      </c>
      <c r="R177" s="49" t="str">
        <f>DataTable[HLD_Portfolio]&amp;DataTable[HLD_Date]</f>
        <v>SCBSFFPLUS43381</v>
      </c>
    </row>
    <row r="178" spans="1:18" x14ac:dyDescent="0.2">
      <c r="A178" s="49">
        <v>43381</v>
      </c>
      <c r="B178" t="s">
        <v>142</v>
      </c>
      <c r="C178" t="s">
        <v>18</v>
      </c>
      <c r="D178" t="s">
        <v>112</v>
      </c>
      <c r="F178" t="s">
        <v>262</v>
      </c>
      <c r="G178" t="s">
        <v>263</v>
      </c>
      <c r="H178" t="s">
        <v>29</v>
      </c>
      <c r="I178" s="49">
        <v>43434</v>
      </c>
      <c r="J178" s="47">
        <v>70038893.400000006</v>
      </c>
      <c r="K178">
        <v>589841</v>
      </c>
      <c r="L178">
        <v>70000000</v>
      </c>
      <c r="M178">
        <v>0.14116799999999999</v>
      </c>
      <c r="N178">
        <v>2.33</v>
      </c>
      <c r="O178" t="s">
        <v>42</v>
      </c>
      <c r="P178" t="s">
        <v>23</v>
      </c>
      <c r="Q178" s="49">
        <v>43069</v>
      </c>
      <c r="R178" s="49" t="str">
        <f>DataTable[HLD_Portfolio]&amp;DataTable[HLD_Date]</f>
        <v>SCBSFFPLUS43381</v>
      </c>
    </row>
    <row r="179" spans="1:18" x14ac:dyDescent="0.2">
      <c r="A179" s="49">
        <v>43381</v>
      </c>
      <c r="B179" t="s">
        <v>142</v>
      </c>
      <c r="C179" t="s">
        <v>18</v>
      </c>
      <c r="D179" t="s">
        <v>112</v>
      </c>
      <c r="F179" t="s">
        <v>264</v>
      </c>
      <c r="G179" t="s">
        <v>263</v>
      </c>
      <c r="H179" t="s">
        <v>29</v>
      </c>
      <c r="I179" s="49">
        <v>44165</v>
      </c>
      <c r="J179" s="47">
        <v>68487227.189999998</v>
      </c>
      <c r="K179">
        <v>768565.47</v>
      </c>
      <c r="L179">
        <v>69000000</v>
      </c>
      <c r="M179">
        <v>2.032489</v>
      </c>
      <c r="N179">
        <v>3.08</v>
      </c>
      <c r="O179" t="s">
        <v>42</v>
      </c>
      <c r="P179" t="s">
        <v>23</v>
      </c>
      <c r="Q179" s="49">
        <v>43069</v>
      </c>
      <c r="R179" s="49" t="str">
        <f>DataTable[HLD_Portfolio]&amp;DataTable[HLD_Date]</f>
        <v>SCBSFFPLUS43381</v>
      </c>
    </row>
    <row r="180" spans="1:18" x14ac:dyDescent="0.2">
      <c r="A180" s="49">
        <v>43381</v>
      </c>
      <c r="B180" t="s">
        <v>142</v>
      </c>
      <c r="C180" t="s">
        <v>18</v>
      </c>
      <c r="D180" t="s">
        <v>112</v>
      </c>
      <c r="F180" t="s">
        <v>214</v>
      </c>
      <c r="G180" t="s">
        <v>215</v>
      </c>
      <c r="H180" t="s">
        <v>29</v>
      </c>
      <c r="I180" s="49">
        <v>43792</v>
      </c>
      <c r="J180" s="47">
        <v>314548492.38</v>
      </c>
      <c r="K180">
        <v>3993106.89</v>
      </c>
      <c r="L180">
        <v>313000000</v>
      </c>
      <c r="M180">
        <v>1.08318</v>
      </c>
      <c r="N180">
        <v>3.35</v>
      </c>
      <c r="O180" t="s">
        <v>42</v>
      </c>
      <c r="P180" t="s">
        <v>23</v>
      </c>
      <c r="Q180" s="49">
        <v>42697</v>
      </c>
      <c r="R180" s="49" t="str">
        <f>DataTable[HLD_Portfolio]&amp;DataTable[HLD_Date]</f>
        <v>SCBSFFPLUS43381</v>
      </c>
    </row>
    <row r="181" spans="1:18" x14ac:dyDescent="0.2">
      <c r="A181" s="49">
        <v>43381</v>
      </c>
      <c r="B181" t="s">
        <v>142</v>
      </c>
      <c r="C181" t="s">
        <v>18</v>
      </c>
      <c r="D181" t="s">
        <v>112</v>
      </c>
      <c r="F181" t="s">
        <v>216</v>
      </c>
      <c r="G181" t="s">
        <v>217</v>
      </c>
      <c r="H181" t="s">
        <v>59</v>
      </c>
      <c r="I181" s="49">
        <v>43795</v>
      </c>
      <c r="J181" s="47">
        <v>10002373.1</v>
      </c>
      <c r="K181">
        <v>80109.600000000006</v>
      </c>
      <c r="L181">
        <v>10069448</v>
      </c>
      <c r="M181">
        <v>1.1039140000000001</v>
      </c>
      <c r="N181">
        <v>1.52</v>
      </c>
      <c r="O181" t="s">
        <v>42</v>
      </c>
      <c r="P181" t="s">
        <v>23</v>
      </c>
      <c r="Q181" s="49">
        <v>42881</v>
      </c>
      <c r="R181" s="49" t="str">
        <f>DataTable[HLD_Portfolio]&amp;DataTable[HLD_Date]</f>
        <v>SCBSFFPLUS43381</v>
      </c>
    </row>
    <row r="182" spans="1:18" x14ac:dyDescent="0.2">
      <c r="A182" s="49">
        <v>43381</v>
      </c>
      <c r="B182" t="s">
        <v>142</v>
      </c>
      <c r="C182" t="s">
        <v>18</v>
      </c>
      <c r="D182" t="s">
        <v>112</v>
      </c>
      <c r="F182" t="s">
        <v>218</v>
      </c>
      <c r="G182" t="s">
        <v>125</v>
      </c>
      <c r="H182" t="s">
        <v>126</v>
      </c>
      <c r="I182" s="49">
        <v>43419</v>
      </c>
      <c r="J182" s="47">
        <v>500052645</v>
      </c>
      <c r="K182">
        <v>5019180</v>
      </c>
      <c r="L182">
        <v>500000000</v>
      </c>
      <c r="M182">
        <v>0.101228</v>
      </c>
      <c r="N182">
        <v>1.6</v>
      </c>
      <c r="O182" t="s">
        <v>42</v>
      </c>
      <c r="P182" t="s">
        <v>23</v>
      </c>
      <c r="Q182" s="49">
        <v>43153</v>
      </c>
      <c r="R182" s="49" t="str">
        <f>DataTable[HLD_Portfolio]&amp;DataTable[HLD_Date]</f>
        <v>SCBSFFPLUS43381</v>
      </c>
    </row>
    <row r="183" spans="1:18" x14ac:dyDescent="0.2">
      <c r="A183" s="49">
        <v>43381</v>
      </c>
      <c r="B183" t="s">
        <v>142</v>
      </c>
      <c r="C183" t="s">
        <v>18</v>
      </c>
      <c r="D183" t="s">
        <v>112</v>
      </c>
      <c r="F183" t="s">
        <v>219</v>
      </c>
      <c r="G183" t="s">
        <v>125</v>
      </c>
      <c r="H183" t="s">
        <v>126</v>
      </c>
      <c r="I183" s="49">
        <v>43424</v>
      </c>
      <c r="J183" s="47">
        <v>500060740</v>
      </c>
      <c r="K183">
        <v>4931505</v>
      </c>
      <c r="L183">
        <v>500000000</v>
      </c>
      <c r="M183">
        <v>0.114884</v>
      </c>
      <c r="N183">
        <v>1.6</v>
      </c>
      <c r="O183" t="s">
        <v>42</v>
      </c>
      <c r="P183" t="s">
        <v>23</v>
      </c>
      <c r="Q183" s="49">
        <v>43157</v>
      </c>
      <c r="R183" s="49" t="str">
        <f>DataTable[HLD_Portfolio]&amp;DataTable[HLD_Date]</f>
        <v>SCBSFFPLUS43381</v>
      </c>
    </row>
    <row r="184" spans="1:18" x14ac:dyDescent="0.2">
      <c r="A184" s="49">
        <v>43381</v>
      </c>
      <c r="B184" t="s">
        <v>142</v>
      </c>
      <c r="C184" t="s">
        <v>18</v>
      </c>
      <c r="D184" t="s">
        <v>112</v>
      </c>
      <c r="F184" t="s">
        <v>220</v>
      </c>
      <c r="G184" t="s">
        <v>125</v>
      </c>
      <c r="H184" t="s">
        <v>126</v>
      </c>
      <c r="I184" s="49">
        <v>43426</v>
      </c>
      <c r="J184" s="47">
        <v>500059250</v>
      </c>
      <c r="K184">
        <v>4909590</v>
      </c>
      <c r="L184">
        <v>500000000</v>
      </c>
      <c r="M184">
        <v>0.12034400000000001</v>
      </c>
      <c r="N184">
        <v>1.6</v>
      </c>
      <c r="O184" t="s">
        <v>42</v>
      </c>
      <c r="P184" t="s">
        <v>23</v>
      </c>
      <c r="Q184" s="49">
        <v>43158</v>
      </c>
      <c r="R184" s="49" t="str">
        <f>DataTable[HLD_Portfolio]&amp;DataTable[HLD_Date]</f>
        <v>SCBSFFPLUS43381</v>
      </c>
    </row>
    <row r="185" spans="1:18" x14ac:dyDescent="0.2">
      <c r="A185" s="49">
        <v>43381</v>
      </c>
      <c r="B185" t="s">
        <v>142</v>
      </c>
      <c r="C185" t="s">
        <v>18</v>
      </c>
      <c r="D185" t="s">
        <v>112</v>
      </c>
      <c r="F185" t="s">
        <v>221</v>
      </c>
      <c r="G185" t="s">
        <v>125</v>
      </c>
      <c r="H185" t="s">
        <v>126</v>
      </c>
      <c r="I185" s="49">
        <v>43427</v>
      </c>
      <c r="J185" s="47">
        <v>500059020</v>
      </c>
      <c r="K185">
        <v>4909590</v>
      </c>
      <c r="L185">
        <v>500000000</v>
      </c>
      <c r="M185">
        <v>0.123074</v>
      </c>
      <c r="N185">
        <v>1.6</v>
      </c>
      <c r="O185" t="s">
        <v>42</v>
      </c>
      <c r="P185" t="s">
        <v>23</v>
      </c>
      <c r="Q185" s="49">
        <v>43158</v>
      </c>
      <c r="R185" s="49" t="str">
        <f>DataTable[HLD_Portfolio]&amp;DataTable[HLD_Date]</f>
        <v>SCBSFFPLUS43381</v>
      </c>
    </row>
    <row r="186" spans="1:18" x14ac:dyDescent="0.2">
      <c r="A186" s="49">
        <v>43381</v>
      </c>
      <c r="B186" t="s">
        <v>142</v>
      </c>
      <c r="C186" t="s">
        <v>18</v>
      </c>
      <c r="D186" t="s">
        <v>112</v>
      </c>
      <c r="F186" t="s">
        <v>222</v>
      </c>
      <c r="G186" t="s">
        <v>125</v>
      </c>
      <c r="H186" t="s">
        <v>126</v>
      </c>
      <c r="I186" s="49">
        <v>43434</v>
      </c>
      <c r="J186" s="47">
        <v>130021725.59999999</v>
      </c>
      <c r="K186">
        <v>1230903.7</v>
      </c>
      <c r="L186">
        <v>130000000</v>
      </c>
      <c r="M186">
        <v>0.142176</v>
      </c>
      <c r="N186">
        <v>1.6</v>
      </c>
      <c r="O186" t="s">
        <v>42</v>
      </c>
      <c r="P186" t="s">
        <v>23</v>
      </c>
      <c r="Q186" s="49">
        <v>43166</v>
      </c>
      <c r="R186" s="49" t="str">
        <f>DataTable[HLD_Portfolio]&amp;DataTable[HLD_Date]</f>
        <v>SCBSFFPLUS43381</v>
      </c>
    </row>
    <row r="187" spans="1:18" x14ac:dyDescent="0.2">
      <c r="A187" s="49">
        <v>43381</v>
      </c>
      <c r="B187" t="s">
        <v>142</v>
      </c>
      <c r="C187" t="s">
        <v>18</v>
      </c>
      <c r="D187" t="s">
        <v>112</v>
      </c>
      <c r="F187" t="s">
        <v>223</v>
      </c>
      <c r="G187" t="s">
        <v>125</v>
      </c>
      <c r="H187" t="s">
        <v>126</v>
      </c>
      <c r="I187" s="49">
        <v>43483</v>
      </c>
      <c r="J187" s="47">
        <v>200004780</v>
      </c>
      <c r="K187">
        <v>1472876</v>
      </c>
      <c r="L187">
        <v>200000000</v>
      </c>
      <c r="M187">
        <v>0.27550799999999998</v>
      </c>
      <c r="N187">
        <v>1.6</v>
      </c>
      <c r="O187" t="s">
        <v>42</v>
      </c>
      <c r="P187" t="s">
        <v>23</v>
      </c>
      <c r="Q187" s="49">
        <v>43214</v>
      </c>
      <c r="R187" s="49" t="str">
        <f>DataTable[HLD_Portfolio]&amp;DataTable[HLD_Date]</f>
        <v>SCBSFFPLUS43381</v>
      </c>
    </row>
    <row r="188" spans="1:18" x14ac:dyDescent="0.2">
      <c r="A188" s="49">
        <v>43381</v>
      </c>
      <c r="B188" t="s">
        <v>142</v>
      </c>
      <c r="C188" t="s">
        <v>18</v>
      </c>
      <c r="D188" t="s">
        <v>112</v>
      </c>
      <c r="F188" t="s">
        <v>224</v>
      </c>
      <c r="G188" t="s">
        <v>125</v>
      </c>
      <c r="H188" t="s">
        <v>126</v>
      </c>
      <c r="I188" s="49">
        <v>43483</v>
      </c>
      <c r="J188" s="47">
        <v>850020476.5</v>
      </c>
      <c r="K188">
        <v>6222467.5</v>
      </c>
      <c r="L188">
        <v>850000000</v>
      </c>
      <c r="M188">
        <v>0.27550799999999998</v>
      </c>
      <c r="N188">
        <v>1.6</v>
      </c>
      <c r="O188" t="s">
        <v>42</v>
      </c>
      <c r="P188" t="s">
        <v>23</v>
      </c>
      <c r="Q188" s="49">
        <v>43215</v>
      </c>
      <c r="R188" s="49" t="str">
        <f>DataTable[HLD_Portfolio]&amp;DataTable[HLD_Date]</f>
        <v>SCBSFFPLUS43381</v>
      </c>
    </row>
    <row r="189" spans="1:18" x14ac:dyDescent="0.2">
      <c r="A189" s="49">
        <v>43381</v>
      </c>
      <c r="B189" t="s">
        <v>142</v>
      </c>
      <c r="C189" t="s">
        <v>18</v>
      </c>
      <c r="D189" t="s">
        <v>112</v>
      </c>
      <c r="F189" t="s">
        <v>225</v>
      </c>
      <c r="G189" t="s">
        <v>125</v>
      </c>
      <c r="H189" t="s">
        <v>126</v>
      </c>
      <c r="I189" s="49">
        <v>43910</v>
      </c>
      <c r="J189" s="47">
        <v>917709233.25</v>
      </c>
      <c r="K189">
        <v>828189.5</v>
      </c>
      <c r="L189">
        <v>925000000</v>
      </c>
      <c r="M189">
        <v>1.4148750000000001</v>
      </c>
      <c r="N189">
        <v>1.72</v>
      </c>
      <c r="O189" t="s">
        <v>42</v>
      </c>
      <c r="P189" t="s">
        <v>23</v>
      </c>
      <c r="Q189" s="49">
        <v>43179</v>
      </c>
      <c r="R189" s="49" t="str">
        <f>DataTable[HLD_Portfolio]&amp;DataTable[HLD_Date]</f>
        <v>SCBSFFPLUS43381</v>
      </c>
    </row>
    <row r="190" spans="1:18" x14ac:dyDescent="0.2">
      <c r="A190" s="49">
        <v>43381</v>
      </c>
      <c r="B190" t="s">
        <v>142</v>
      </c>
      <c r="C190" t="s">
        <v>18</v>
      </c>
      <c r="D190" t="s">
        <v>112</v>
      </c>
      <c r="F190" t="s">
        <v>226</v>
      </c>
      <c r="G190" t="s">
        <v>227</v>
      </c>
      <c r="H190" t="s">
        <v>126</v>
      </c>
      <c r="I190" s="49">
        <v>43738</v>
      </c>
      <c r="J190" s="47">
        <v>1153910773.05</v>
      </c>
      <c r="K190">
        <v>485829.62</v>
      </c>
      <c r="L190">
        <v>1159000000</v>
      </c>
      <c r="M190">
        <v>0.95664700000000003</v>
      </c>
      <c r="N190">
        <v>1.7</v>
      </c>
      <c r="O190" t="s">
        <v>42</v>
      </c>
      <c r="P190" t="s">
        <v>23</v>
      </c>
      <c r="Q190" s="49">
        <v>43189</v>
      </c>
      <c r="R190" s="49" t="str">
        <f>DataTable[HLD_Portfolio]&amp;DataTable[HLD_Date]</f>
        <v>SCBSFFPLUS43381</v>
      </c>
    </row>
    <row r="191" spans="1:18" x14ac:dyDescent="0.2">
      <c r="A191" s="49">
        <v>43381</v>
      </c>
      <c r="B191" t="s">
        <v>142</v>
      </c>
      <c r="C191" t="s">
        <v>18</v>
      </c>
      <c r="D191" t="s">
        <v>112</v>
      </c>
      <c r="F191" t="s">
        <v>228</v>
      </c>
      <c r="G191" t="s">
        <v>227</v>
      </c>
      <c r="H191" t="s">
        <v>126</v>
      </c>
      <c r="I191" s="49">
        <v>43920</v>
      </c>
      <c r="J191" s="47">
        <v>158747000</v>
      </c>
      <c r="K191">
        <v>69041.600000000006</v>
      </c>
      <c r="L191">
        <v>160000000</v>
      </c>
      <c r="M191">
        <v>1.4416279999999999</v>
      </c>
      <c r="N191">
        <v>1.75</v>
      </c>
      <c r="O191" t="s">
        <v>42</v>
      </c>
      <c r="P191" t="s">
        <v>23</v>
      </c>
      <c r="Q191" s="49">
        <v>43189</v>
      </c>
      <c r="R191" s="49" t="str">
        <f>DataTable[HLD_Portfolio]&amp;DataTable[HLD_Date]</f>
        <v>SCBSFFPLUS43381</v>
      </c>
    </row>
    <row r="192" spans="1:18" x14ac:dyDescent="0.2">
      <c r="A192" s="49">
        <v>43381</v>
      </c>
      <c r="B192" t="s">
        <v>142</v>
      </c>
      <c r="C192" t="s">
        <v>18</v>
      </c>
      <c r="D192" t="s">
        <v>112</v>
      </c>
      <c r="F192" t="s">
        <v>229</v>
      </c>
      <c r="G192" t="s">
        <v>81</v>
      </c>
      <c r="H192" t="s">
        <v>51</v>
      </c>
      <c r="I192" s="49">
        <v>43390</v>
      </c>
      <c r="J192" s="47">
        <v>70041675.200000003</v>
      </c>
      <c r="K192">
        <v>1520342.6</v>
      </c>
      <c r="L192">
        <v>70033023.900000006</v>
      </c>
      <c r="M192">
        <v>2.1759000000000001E-2</v>
      </c>
      <c r="N192">
        <v>2.0590000000000002</v>
      </c>
      <c r="O192" t="s">
        <v>42</v>
      </c>
      <c r="P192" t="s">
        <v>23</v>
      </c>
      <c r="Q192" s="49">
        <v>41564</v>
      </c>
      <c r="R192" s="49" t="str">
        <f>DataTable[HLD_Portfolio]&amp;DataTable[HLD_Date]</f>
        <v>SCBSFFPLUS43381</v>
      </c>
    </row>
    <row r="193" spans="1:18" x14ac:dyDescent="0.2">
      <c r="A193" s="49">
        <v>43381</v>
      </c>
      <c r="B193" t="s">
        <v>142</v>
      </c>
      <c r="C193" t="s">
        <v>18</v>
      </c>
      <c r="D193" t="s">
        <v>112</v>
      </c>
      <c r="F193" t="s">
        <v>230</v>
      </c>
      <c r="G193" t="s">
        <v>231</v>
      </c>
      <c r="H193" t="s">
        <v>47</v>
      </c>
      <c r="I193" s="49">
        <v>43417</v>
      </c>
      <c r="J193" s="47">
        <v>13514972.18</v>
      </c>
      <c r="K193">
        <v>56500.34</v>
      </c>
      <c r="L193">
        <v>13505841.18</v>
      </c>
      <c r="M193">
        <v>9.5547000000000007E-2</v>
      </c>
      <c r="N193">
        <v>2.1649630000000002</v>
      </c>
      <c r="O193" t="s">
        <v>42</v>
      </c>
      <c r="P193" t="s">
        <v>23</v>
      </c>
      <c r="Q193" s="49">
        <v>42137</v>
      </c>
      <c r="R193" s="49" t="str">
        <f>DataTable[HLD_Portfolio]&amp;DataTable[HLD_Date]</f>
        <v>SCBSFFPLUS43381</v>
      </c>
    </row>
    <row r="194" spans="1:18" x14ac:dyDescent="0.2">
      <c r="A194" s="49">
        <v>43381</v>
      </c>
      <c r="B194" t="s">
        <v>142</v>
      </c>
      <c r="C194" t="s">
        <v>18</v>
      </c>
      <c r="D194" t="s">
        <v>112</v>
      </c>
      <c r="F194" t="s">
        <v>232</v>
      </c>
      <c r="G194" t="s">
        <v>233</v>
      </c>
      <c r="H194" t="s">
        <v>126</v>
      </c>
      <c r="I194" s="49">
        <v>44260</v>
      </c>
      <c r="J194" s="47">
        <v>358882745.10000002</v>
      </c>
      <c r="K194">
        <v>730374.15</v>
      </c>
      <c r="L194">
        <v>363000000</v>
      </c>
      <c r="M194">
        <v>2.3187419999999999</v>
      </c>
      <c r="N194">
        <v>2.16</v>
      </c>
      <c r="O194" t="s">
        <v>42</v>
      </c>
      <c r="P194" t="s">
        <v>23</v>
      </c>
      <c r="Q194" s="49">
        <v>43164</v>
      </c>
      <c r="R194" s="49" t="str">
        <f>DataTable[HLD_Portfolio]&amp;DataTable[HLD_Date]</f>
        <v>SCBSFFPLUS43381</v>
      </c>
    </row>
    <row r="195" spans="1:18" x14ac:dyDescent="0.2">
      <c r="A195" s="49">
        <v>43381</v>
      </c>
      <c r="B195" t="s">
        <v>142</v>
      </c>
      <c r="C195" t="s">
        <v>18</v>
      </c>
      <c r="D195" t="s">
        <v>112</v>
      </c>
      <c r="F195" t="s">
        <v>234</v>
      </c>
      <c r="G195" t="s">
        <v>26</v>
      </c>
      <c r="H195" t="s">
        <v>27</v>
      </c>
      <c r="I195" s="49">
        <v>43514</v>
      </c>
      <c r="J195" s="47">
        <v>616053191.60000002</v>
      </c>
      <c r="K195">
        <v>1431146.64</v>
      </c>
      <c r="L195">
        <v>616000000</v>
      </c>
      <c r="M195">
        <v>0.359599</v>
      </c>
      <c r="N195">
        <v>1.6</v>
      </c>
      <c r="O195" t="s">
        <v>42</v>
      </c>
      <c r="P195" t="s">
        <v>23</v>
      </c>
      <c r="Q195" s="49">
        <v>43329</v>
      </c>
      <c r="R195" s="49" t="str">
        <f>DataTable[HLD_Portfolio]&amp;DataTable[HLD_Date]</f>
        <v>SCBSFFPLUS43381</v>
      </c>
    </row>
    <row r="196" spans="1:18" x14ac:dyDescent="0.2">
      <c r="A196" s="49">
        <v>43381</v>
      </c>
      <c r="B196" t="s">
        <v>142</v>
      </c>
      <c r="C196" t="s">
        <v>18</v>
      </c>
      <c r="D196" t="s">
        <v>112</v>
      </c>
      <c r="F196" t="s">
        <v>235</v>
      </c>
      <c r="G196" t="s">
        <v>84</v>
      </c>
      <c r="H196" t="s">
        <v>47</v>
      </c>
      <c r="I196" s="49">
        <v>44270</v>
      </c>
      <c r="J196" s="47">
        <v>111932766.98</v>
      </c>
      <c r="K196">
        <v>155290.25</v>
      </c>
      <c r="L196">
        <v>113000000</v>
      </c>
      <c r="M196">
        <v>2.3493360000000001</v>
      </c>
      <c r="N196">
        <v>2.09</v>
      </c>
      <c r="O196" t="s">
        <v>42</v>
      </c>
      <c r="P196" t="s">
        <v>23</v>
      </c>
      <c r="Q196" s="49">
        <v>43174</v>
      </c>
      <c r="R196" s="49" t="str">
        <f>DataTable[HLD_Portfolio]&amp;DataTable[HLD_Date]</f>
        <v>SCBSFFPLUS43381</v>
      </c>
    </row>
    <row r="197" spans="1:18" x14ac:dyDescent="0.2">
      <c r="A197" s="49">
        <v>43381</v>
      </c>
      <c r="B197" t="s">
        <v>142</v>
      </c>
      <c r="C197" t="s">
        <v>18</v>
      </c>
      <c r="D197" t="s">
        <v>112</v>
      </c>
      <c r="F197" t="s">
        <v>236</v>
      </c>
      <c r="G197" t="s">
        <v>237</v>
      </c>
      <c r="H197" t="s">
        <v>206</v>
      </c>
      <c r="I197" s="49">
        <v>43912</v>
      </c>
      <c r="J197" s="47">
        <v>446546830.5</v>
      </c>
      <c r="K197">
        <v>375165</v>
      </c>
      <c r="L197">
        <v>450000000</v>
      </c>
      <c r="M197">
        <v>1.419408</v>
      </c>
      <c r="N197">
        <v>1.79</v>
      </c>
      <c r="O197" t="s">
        <v>42</v>
      </c>
      <c r="P197" t="s">
        <v>23</v>
      </c>
      <c r="Q197" s="49">
        <v>43181</v>
      </c>
      <c r="R197" s="49" t="str">
        <f>DataTable[HLD_Portfolio]&amp;DataTable[HLD_Date]</f>
        <v>SCBSFFPLUS43381</v>
      </c>
    </row>
    <row r="198" spans="1:18" x14ac:dyDescent="0.2">
      <c r="A198" s="49">
        <v>43381</v>
      </c>
      <c r="B198" t="s">
        <v>142</v>
      </c>
      <c r="C198" t="s">
        <v>18</v>
      </c>
      <c r="D198" t="s">
        <v>112</v>
      </c>
      <c r="F198" t="s">
        <v>238</v>
      </c>
      <c r="G198" t="s">
        <v>237</v>
      </c>
      <c r="H198" t="s">
        <v>206</v>
      </c>
      <c r="I198" s="49">
        <v>44277</v>
      </c>
      <c r="J198" s="47">
        <v>1479264948.4200001</v>
      </c>
      <c r="K198">
        <v>1465163.84</v>
      </c>
      <c r="L198">
        <v>1498137246.76</v>
      </c>
      <c r="M198">
        <v>2.3663370000000001</v>
      </c>
      <c r="N198">
        <v>2.0995659999999998</v>
      </c>
      <c r="O198" t="s">
        <v>42</v>
      </c>
      <c r="P198" t="s">
        <v>23</v>
      </c>
      <c r="Q198" s="49">
        <v>43181</v>
      </c>
      <c r="R198" s="49" t="str">
        <f>DataTable[HLD_Portfolio]&amp;DataTable[HLD_Date]</f>
        <v>SCBSFFPLUS43381</v>
      </c>
    </row>
    <row r="199" spans="1:18" x14ac:dyDescent="0.2">
      <c r="A199" s="49">
        <v>43381</v>
      </c>
      <c r="B199" t="s">
        <v>142</v>
      </c>
      <c r="C199" t="s">
        <v>18</v>
      </c>
      <c r="D199" t="s">
        <v>112</v>
      </c>
      <c r="F199" t="s">
        <v>239</v>
      </c>
      <c r="G199" t="s">
        <v>240</v>
      </c>
      <c r="H199" t="s">
        <v>126</v>
      </c>
      <c r="I199" s="49">
        <v>43740</v>
      </c>
      <c r="J199" s="47">
        <v>165324112.15000001</v>
      </c>
      <c r="K199">
        <v>132890.76</v>
      </c>
      <c r="L199">
        <v>165949229.09</v>
      </c>
      <c r="M199">
        <v>0.95904999999999996</v>
      </c>
      <c r="N199">
        <v>1.7</v>
      </c>
      <c r="O199" t="s">
        <v>42</v>
      </c>
      <c r="P199" t="s">
        <v>23</v>
      </c>
      <c r="Q199" s="49">
        <v>41914</v>
      </c>
      <c r="R199" s="49" t="str">
        <f>DataTable[HLD_Portfolio]&amp;DataTable[HLD_Date]</f>
        <v>SCBSFFPLUS43381</v>
      </c>
    </row>
    <row r="200" spans="1:18" x14ac:dyDescent="0.2">
      <c r="A200" s="49">
        <v>43381</v>
      </c>
      <c r="B200" t="s">
        <v>142</v>
      </c>
      <c r="C200" t="s">
        <v>18</v>
      </c>
      <c r="D200" t="s">
        <v>112</v>
      </c>
      <c r="F200" t="s">
        <v>241</v>
      </c>
      <c r="G200" t="s">
        <v>71</v>
      </c>
      <c r="H200" t="s">
        <v>47</v>
      </c>
      <c r="I200" s="49">
        <v>43433</v>
      </c>
      <c r="J200" s="47">
        <v>300143982</v>
      </c>
      <c r="K200">
        <v>2022330</v>
      </c>
      <c r="L200">
        <v>300000000</v>
      </c>
      <c r="M200">
        <v>0.13869899999999999</v>
      </c>
      <c r="N200">
        <v>1.85</v>
      </c>
      <c r="O200" t="s">
        <v>42</v>
      </c>
      <c r="P200" t="s">
        <v>23</v>
      </c>
      <c r="Q200" s="49">
        <v>42884</v>
      </c>
      <c r="R200" s="49" t="str">
        <f>DataTable[HLD_Portfolio]&amp;DataTable[HLD_Date]</f>
        <v>SCBSFFPLUS43381</v>
      </c>
    </row>
    <row r="201" spans="1:18" x14ac:dyDescent="0.2">
      <c r="A201" s="49">
        <v>43381</v>
      </c>
      <c r="B201" t="s">
        <v>142</v>
      </c>
      <c r="C201" t="s">
        <v>18</v>
      </c>
      <c r="D201" t="s">
        <v>112</v>
      </c>
      <c r="F201" t="s">
        <v>242</v>
      </c>
      <c r="G201" t="s">
        <v>71</v>
      </c>
      <c r="H201" t="s">
        <v>47</v>
      </c>
      <c r="I201" s="49">
        <v>43686</v>
      </c>
      <c r="J201" s="47">
        <v>623220412.5</v>
      </c>
      <c r="K201">
        <v>1754793.75</v>
      </c>
      <c r="L201">
        <v>625000000</v>
      </c>
      <c r="M201">
        <v>0.82450599999999996</v>
      </c>
      <c r="N201">
        <v>1.68</v>
      </c>
      <c r="O201" t="s">
        <v>42</v>
      </c>
      <c r="P201" t="s">
        <v>23</v>
      </c>
      <c r="Q201" s="49">
        <v>43140</v>
      </c>
      <c r="R201" s="49" t="str">
        <f>DataTable[HLD_Portfolio]&amp;DataTable[HLD_Date]</f>
        <v>SCBSFFPLUS43381</v>
      </c>
    </row>
    <row r="202" spans="1:18" x14ac:dyDescent="0.2">
      <c r="A202" s="49">
        <v>43381</v>
      </c>
      <c r="B202" t="s">
        <v>142</v>
      </c>
      <c r="C202" t="s">
        <v>18</v>
      </c>
      <c r="D202" t="s">
        <v>112</v>
      </c>
      <c r="F202" t="s">
        <v>243</v>
      </c>
      <c r="G202" t="s">
        <v>71</v>
      </c>
      <c r="H202" t="s">
        <v>47</v>
      </c>
      <c r="I202" s="49">
        <v>43972</v>
      </c>
      <c r="J202" s="47">
        <v>18901264.600000001</v>
      </c>
      <c r="K202">
        <v>128445.13</v>
      </c>
      <c r="L202">
        <v>19000000</v>
      </c>
      <c r="M202">
        <v>1.575509</v>
      </c>
      <c r="N202">
        <v>1.75</v>
      </c>
      <c r="O202" t="s">
        <v>42</v>
      </c>
      <c r="P202" t="s">
        <v>23</v>
      </c>
      <c r="Q202" s="49">
        <v>43241</v>
      </c>
      <c r="R202" s="49" t="str">
        <f>DataTable[HLD_Portfolio]&amp;DataTable[HLD_Date]</f>
        <v>SCBSFFPLUS43381</v>
      </c>
    </row>
    <row r="203" spans="1:18" x14ac:dyDescent="0.2">
      <c r="A203" s="49">
        <v>43381</v>
      </c>
      <c r="B203" t="s">
        <v>142</v>
      </c>
      <c r="C203" t="s">
        <v>18</v>
      </c>
      <c r="D203" t="s">
        <v>112</v>
      </c>
      <c r="F203" t="s">
        <v>244</v>
      </c>
      <c r="G203" t="s">
        <v>245</v>
      </c>
      <c r="H203" t="s">
        <v>29</v>
      </c>
      <c r="I203" s="49">
        <v>43518</v>
      </c>
      <c r="J203" s="47">
        <v>5450887151</v>
      </c>
      <c r="K203">
        <v>96302263</v>
      </c>
      <c r="L203">
        <v>5450000000</v>
      </c>
      <c r="M203">
        <v>0.36890699999999998</v>
      </c>
      <c r="N203">
        <v>2.78</v>
      </c>
      <c r="O203" t="s">
        <v>42</v>
      </c>
      <c r="P203" t="s">
        <v>23</v>
      </c>
      <c r="Q203" s="49">
        <v>43150</v>
      </c>
      <c r="R203" s="49" t="str">
        <f>DataTable[HLD_Portfolio]&amp;DataTable[HLD_Date]</f>
        <v>SCBSFFPLUS43381</v>
      </c>
    </row>
    <row r="204" spans="1:18" x14ac:dyDescent="0.2">
      <c r="A204" s="49">
        <v>43381</v>
      </c>
      <c r="B204" t="s">
        <v>142</v>
      </c>
      <c r="C204" t="s">
        <v>18</v>
      </c>
      <c r="D204" t="s">
        <v>112</v>
      </c>
      <c r="F204" t="s">
        <v>246</v>
      </c>
      <c r="G204" t="s">
        <v>247</v>
      </c>
      <c r="H204" t="s">
        <v>29</v>
      </c>
      <c r="I204" s="49">
        <v>43494</v>
      </c>
      <c r="J204" s="47">
        <v>498105929.57999998</v>
      </c>
      <c r="K204">
        <v>4205032.32</v>
      </c>
      <c r="L204">
        <v>498000000</v>
      </c>
      <c r="M204">
        <v>0.30478100000000002</v>
      </c>
      <c r="N204">
        <v>2.2999999999999998</v>
      </c>
      <c r="O204" t="s">
        <v>42</v>
      </c>
      <c r="P204" t="s">
        <v>23</v>
      </c>
      <c r="Q204" s="49">
        <v>43248</v>
      </c>
      <c r="R204" s="49" t="str">
        <f>DataTable[HLD_Portfolio]&amp;DataTable[HLD_Date]</f>
        <v>SCBSFFPLUS43381</v>
      </c>
    </row>
    <row r="205" spans="1:18" x14ac:dyDescent="0.2">
      <c r="A205" s="49">
        <v>43381</v>
      </c>
      <c r="B205" t="s">
        <v>142</v>
      </c>
      <c r="C205" t="s">
        <v>18</v>
      </c>
      <c r="D205" t="s">
        <v>112</v>
      </c>
      <c r="F205" t="s">
        <v>248</v>
      </c>
      <c r="G205" t="s">
        <v>247</v>
      </c>
      <c r="H205" t="s">
        <v>29</v>
      </c>
      <c r="I205" s="49">
        <v>44410</v>
      </c>
      <c r="J205" s="47">
        <v>1366638566.4000001</v>
      </c>
      <c r="K205">
        <v>9429829.1999999993</v>
      </c>
      <c r="L205">
        <v>1368000000</v>
      </c>
      <c r="M205">
        <v>2.644279</v>
      </c>
      <c r="N205">
        <v>3.7</v>
      </c>
      <c r="O205" t="s">
        <v>42</v>
      </c>
      <c r="P205" t="s">
        <v>23</v>
      </c>
      <c r="Q205" s="49">
        <v>43314</v>
      </c>
      <c r="R205" s="49" t="str">
        <f>DataTable[HLD_Portfolio]&amp;DataTable[HLD_Date]</f>
        <v>SCBSFFPLUS43381</v>
      </c>
    </row>
    <row r="206" spans="1:18" x14ac:dyDescent="0.2">
      <c r="A206" s="49">
        <v>43381</v>
      </c>
      <c r="B206" t="s">
        <v>142</v>
      </c>
      <c r="C206" t="s">
        <v>18</v>
      </c>
      <c r="D206" t="s">
        <v>112</v>
      </c>
      <c r="F206" t="s">
        <v>249</v>
      </c>
      <c r="G206" t="s">
        <v>250</v>
      </c>
      <c r="H206" t="s">
        <v>126</v>
      </c>
      <c r="I206" s="49">
        <v>44313</v>
      </c>
      <c r="J206" s="47">
        <v>69427967.700000003</v>
      </c>
      <c r="K206">
        <v>339183.6</v>
      </c>
      <c r="L206">
        <v>70000000</v>
      </c>
      <c r="M206">
        <v>2.4519630000000001</v>
      </c>
      <c r="N206">
        <v>2.39</v>
      </c>
      <c r="O206" t="s">
        <v>42</v>
      </c>
      <c r="P206" t="s">
        <v>23</v>
      </c>
      <c r="Q206" s="49">
        <v>43217</v>
      </c>
      <c r="R206" s="49" t="str">
        <f>DataTable[HLD_Portfolio]&amp;DataTable[HLD_Date]</f>
        <v>SCBSFFPLUS43381</v>
      </c>
    </row>
    <row r="207" spans="1:18" x14ac:dyDescent="0.2">
      <c r="A207" s="49">
        <v>43381</v>
      </c>
      <c r="B207" t="s">
        <v>142</v>
      </c>
      <c r="C207" t="s">
        <v>18</v>
      </c>
      <c r="D207" t="s">
        <v>112</v>
      </c>
      <c r="F207" t="s">
        <v>251</v>
      </c>
      <c r="G207" t="s">
        <v>252</v>
      </c>
      <c r="H207" t="s">
        <v>47</v>
      </c>
      <c r="I207" s="49">
        <v>44285</v>
      </c>
      <c r="J207" s="47">
        <v>260135162.59999999</v>
      </c>
      <c r="K207">
        <v>146002.12</v>
      </c>
      <c r="L207">
        <v>262000000</v>
      </c>
      <c r="M207">
        <v>2.3967779999999999</v>
      </c>
      <c r="N207">
        <v>2.2599999999999998</v>
      </c>
      <c r="O207" t="s">
        <v>42</v>
      </c>
      <c r="P207" t="s">
        <v>23</v>
      </c>
      <c r="Q207" s="49">
        <v>43189</v>
      </c>
      <c r="R207" s="49" t="str">
        <f>DataTable[HLD_Portfolio]&amp;DataTable[HLD_Date]</f>
        <v>SCBSFFPLUS43381</v>
      </c>
    </row>
    <row r="208" spans="1:18" x14ac:dyDescent="0.2">
      <c r="A208" s="49">
        <v>43381</v>
      </c>
      <c r="B208" t="s">
        <v>142</v>
      </c>
      <c r="C208" t="s">
        <v>18</v>
      </c>
      <c r="D208" t="s">
        <v>112</v>
      </c>
      <c r="F208" t="s">
        <v>253</v>
      </c>
      <c r="G208" t="s">
        <v>254</v>
      </c>
      <c r="H208" t="s">
        <v>126</v>
      </c>
      <c r="I208" s="49">
        <v>44061</v>
      </c>
      <c r="J208" s="47">
        <v>393427288.80000001</v>
      </c>
      <c r="K208">
        <v>1850202.9</v>
      </c>
      <c r="L208">
        <v>390000000</v>
      </c>
      <c r="M208">
        <v>1.787984</v>
      </c>
      <c r="N208">
        <v>3.33</v>
      </c>
      <c r="O208" t="s">
        <v>42</v>
      </c>
      <c r="P208" t="s">
        <v>23</v>
      </c>
      <c r="Q208" s="49">
        <v>42965</v>
      </c>
      <c r="R208" s="49" t="str">
        <f>DataTable[HLD_Portfolio]&amp;DataTable[HLD_Date]</f>
        <v>SCBSFFPLUS43381</v>
      </c>
    </row>
    <row r="209" spans="1:18" x14ac:dyDescent="0.2">
      <c r="A209" s="49">
        <v>43381</v>
      </c>
      <c r="B209" t="s">
        <v>142</v>
      </c>
      <c r="C209" t="s">
        <v>18</v>
      </c>
      <c r="D209" t="s">
        <v>265</v>
      </c>
      <c r="F209" t="s">
        <v>266</v>
      </c>
      <c r="G209" t="s">
        <v>267</v>
      </c>
      <c r="H209" t="s">
        <v>47</v>
      </c>
      <c r="I209" s="49">
        <v>43531</v>
      </c>
      <c r="J209" s="47">
        <v>3299300000</v>
      </c>
      <c r="K209">
        <v>58001694</v>
      </c>
      <c r="L209">
        <v>3299300000</v>
      </c>
      <c r="M209">
        <v>0.41164099999999998</v>
      </c>
      <c r="N209">
        <v>2.93</v>
      </c>
      <c r="O209" t="s">
        <v>42</v>
      </c>
      <c r="P209" t="s">
        <v>37</v>
      </c>
      <c r="Q209" s="49">
        <v>43166</v>
      </c>
      <c r="R209" s="49" t="str">
        <f>DataTable[HLD_Portfolio]&amp;DataTable[HLD_Date]</f>
        <v>SCBSFFPLUS43381</v>
      </c>
    </row>
    <row r="210" spans="1:18" x14ac:dyDescent="0.2">
      <c r="A210" s="49">
        <v>43381</v>
      </c>
      <c r="B210" t="s">
        <v>142</v>
      </c>
      <c r="C210" t="s">
        <v>18</v>
      </c>
      <c r="D210" t="s">
        <v>265</v>
      </c>
      <c r="F210" t="s">
        <v>268</v>
      </c>
      <c r="G210" t="s">
        <v>267</v>
      </c>
      <c r="H210" t="s">
        <v>47</v>
      </c>
      <c r="I210" s="49">
        <v>43593</v>
      </c>
      <c r="J210" s="47">
        <v>2639440000</v>
      </c>
      <c r="K210">
        <v>37034275.909999996</v>
      </c>
      <c r="L210">
        <v>2639440000</v>
      </c>
      <c r="M210">
        <v>0.57772999999999997</v>
      </c>
      <c r="N210">
        <v>3.28</v>
      </c>
      <c r="O210" t="s">
        <v>42</v>
      </c>
      <c r="P210" t="s">
        <v>37</v>
      </c>
      <c r="Q210" s="49">
        <v>43228</v>
      </c>
      <c r="R210" s="49" t="str">
        <f>DataTable[HLD_Portfolio]&amp;DataTable[HLD_Date]</f>
        <v>SCBSFFPLUS43381</v>
      </c>
    </row>
    <row r="211" spans="1:18" x14ac:dyDescent="0.2">
      <c r="A211" s="49">
        <v>43381</v>
      </c>
      <c r="B211" t="s">
        <v>142</v>
      </c>
      <c r="C211" t="s">
        <v>18</v>
      </c>
      <c r="D211" t="s">
        <v>265</v>
      </c>
      <c r="F211" t="s">
        <v>269</v>
      </c>
      <c r="G211" t="s">
        <v>267</v>
      </c>
      <c r="H211" t="s">
        <v>47</v>
      </c>
      <c r="I211" s="49">
        <v>43564</v>
      </c>
      <c r="J211" s="47">
        <v>3299300000</v>
      </c>
      <c r="K211">
        <v>52997755.670000002</v>
      </c>
      <c r="L211">
        <v>3299300000</v>
      </c>
      <c r="M211">
        <v>0.50029699999999999</v>
      </c>
      <c r="N211">
        <v>3.16</v>
      </c>
      <c r="O211" t="s">
        <v>42</v>
      </c>
      <c r="P211" t="s">
        <v>37</v>
      </c>
      <c r="Q211" s="49">
        <v>43199</v>
      </c>
      <c r="R211" s="49" t="str">
        <f>DataTable[HLD_Portfolio]&amp;DataTable[HLD_Date]</f>
        <v>SCBSFFPLUS43381</v>
      </c>
    </row>
    <row r="212" spans="1:18" x14ac:dyDescent="0.2">
      <c r="A212" s="49">
        <v>43381</v>
      </c>
      <c r="B212" t="s">
        <v>142</v>
      </c>
      <c r="C212" t="s">
        <v>18</v>
      </c>
      <c r="D212" t="s">
        <v>265</v>
      </c>
      <c r="F212" t="s">
        <v>270</v>
      </c>
      <c r="G212" t="s">
        <v>267</v>
      </c>
      <c r="H212" t="s">
        <v>47</v>
      </c>
      <c r="I212" s="49">
        <v>43598</v>
      </c>
      <c r="J212" s="47">
        <v>2639440000</v>
      </c>
      <c r="K212">
        <v>36776197.329999998</v>
      </c>
      <c r="L212">
        <v>2639440000</v>
      </c>
      <c r="M212">
        <v>0.59102100000000002</v>
      </c>
      <c r="N212">
        <v>3.3</v>
      </c>
      <c r="O212" t="s">
        <v>42</v>
      </c>
      <c r="P212" t="s">
        <v>37</v>
      </c>
      <c r="Q212" s="49">
        <v>43230</v>
      </c>
      <c r="R212" s="49" t="str">
        <f>DataTable[HLD_Portfolio]&amp;DataTable[HLD_Date]</f>
        <v>SCBSFFPLUS43381</v>
      </c>
    </row>
    <row r="213" spans="1:18" x14ac:dyDescent="0.2">
      <c r="A213" s="49">
        <v>43381</v>
      </c>
      <c r="B213" t="s">
        <v>142</v>
      </c>
      <c r="C213" t="s">
        <v>18</v>
      </c>
      <c r="D213" t="s">
        <v>265</v>
      </c>
      <c r="F213" t="s">
        <v>271</v>
      </c>
      <c r="G213" t="s">
        <v>267</v>
      </c>
      <c r="H213" t="s">
        <v>47</v>
      </c>
      <c r="I213" s="49">
        <v>43545</v>
      </c>
      <c r="J213" s="47">
        <v>3028888000</v>
      </c>
      <c r="K213">
        <v>832944.2</v>
      </c>
      <c r="L213">
        <v>3028888000</v>
      </c>
      <c r="M213">
        <v>0.45267499999999999</v>
      </c>
      <c r="N213">
        <v>0.05</v>
      </c>
      <c r="O213" t="s">
        <v>42</v>
      </c>
      <c r="P213" t="s">
        <v>31</v>
      </c>
      <c r="Q213" s="49">
        <v>43180</v>
      </c>
      <c r="R213" s="49" t="str">
        <f>DataTable[HLD_Portfolio]&amp;DataTable[HLD_Date]</f>
        <v>SCBSFFPLUS43381</v>
      </c>
    </row>
    <row r="214" spans="1:18" x14ac:dyDescent="0.2">
      <c r="A214" s="49">
        <v>43381</v>
      </c>
      <c r="B214" t="s">
        <v>142</v>
      </c>
      <c r="C214" t="s">
        <v>116</v>
      </c>
      <c r="D214" t="s">
        <v>117</v>
      </c>
      <c r="F214" t="s">
        <v>272</v>
      </c>
      <c r="G214" t="s">
        <v>26</v>
      </c>
      <c r="H214" t="s">
        <v>27</v>
      </c>
      <c r="I214" s="49">
        <v>43452</v>
      </c>
      <c r="J214" s="47">
        <v>-79819715.400000006</v>
      </c>
      <c r="L214">
        <v>0</v>
      </c>
      <c r="M214">
        <v>0</v>
      </c>
      <c r="N214">
        <v>0</v>
      </c>
      <c r="O214" t="s">
        <v>119</v>
      </c>
      <c r="P214" t="s">
        <v>23</v>
      </c>
      <c r="Q214" s="49">
        <v>2</v>
      </c>
      <c r="R214" s="49" t="str">
        <f>DataTable[HLD_Portfolio]&amp;DataTable[HLD_Date]</f>
        <v>SCBSFFPLUS43381</v>
      </c>
    </row>
    <row r="215" spans="1:18" x14ac:dyDescent="0.2">
      <c r="A215" s="49">
        <v>43381</v>
      </c>
      <c r="B215" t="s">
        <v>142</v>
      </c>
      <c r="C215" t="s">
        <v>116</v>
      </c>
      <c r="D215" t="s">
        <v>117</v>
      </c>
      <c r="F215" t="s">
        <v>273</v>
      </c>
      <c r="G215" t="s">
        <v>26</v>
      </c>
      <c r="H215" t="s">
        <v>27</v>
      </c>
      <c r="I215" s="49">
        <v>43441</v>
      </c>
      <c r="J215" s="47">
        <v>81113246.579999998</v>
      </c>
      <c r="L215">
        <v>0</v>
      </c>
      <c r="M215">
        <v>0</v>
      </c>
      <c r="N215">
        <v>0</v>
      </c>
      <c r="O215" t="s">
        <v>119</v>
      </c>
      <c r="P215" t="s">
        <v>23</v>
      </c>
      <c r="Q215" s="49">
        <v>2</v>
      </c>
      <c r="R215" s="49" t="str">
        <f>DataTable[HLD_Portfolio]&amp;DataTable[HLD_Date]</f>
        <v>SCBSFFPLUS43381</v>
      </c>
    </row>
    <row r="216" spans="1:18" x14ac:dyDescent="0.2">
      <c r="A216" s="49">
        <v>43381</v>
      </c>
      <c r="B216" t="s">
        <v>142</v>
      </c>
      <c r="C216" t="s">
        <v>116</v>
      </c>
      <c r="D216" t="s">
        <v>117</v>
      </c>
      <c r="F216" t="s">
        <v>274</v>
      </c>
      <c r="G216" t="s">
        <v>26</v>
      </c>
      <c r="H216" t="s">
        <v>27</v>
      </c>
      <c r="I216" s="49">
        <v>43409</v>
      </c>
      <c r="J216" s="47">
        <v>30414187.530000001</v>
      </c>
      <c r="L216">
        <v>0</v>
      </c>
      <c r="M216">
        <v>0</v>
      </c>
      <c r="N216">
        <v>0</v>
      </c>
      <c r="O216" t="s">
        <v>119</v>
      </c>
      <c r="P216" t="s">
        <v>23</v>
      </c>
      <c r="Q216" s="49">
        <v>2</v>
      </c>
      <c r="R216" s="49" t="str">
        <f>DataTable[HLD_Portfolio]&amp;DataTable[HLD_Date]</f>
        <v>SCBSFFPLUS43381</v>
      </c>
    </row>
    <row r="217" spans="1:18" x14ac:dyDescent="0.2">
      <c r="A217" s="49">
        <v>43381</v>
      </c>
      <c r="B217" t="s">
        <v>142</v>
      </c>
      <c r="C217" t="s">
        <v>116</v>
      </c>
      <c r="D217" t="s">
        <v>117</v>
      </c>
      <c r="F217" t="s">
        <v>275</v>
      </c>
      <c r="G217" t="s">
        <v>26</v>
      </c>
      <c r="H217" t="s">
        <v>27</v>
      </c>
      <c r="I217" s="49">
        <v>43496</v>
      </c>
      <c r="J217" s="47">
        <v>140107962.77000001</v>
      </c>
      <c r="L217">
        <v>0</v>
      </c>
      <c r="M217">
        <v>0</v>
      </c>
      <c r="N217">
        <v>0</v>
      </c>
      <c r="O217" t="s">
        <v>119</v>
      </c>
      <c r="P217" t="s">
        <v>23</v>
      </c>
      <c r="Q217" s="49">
        <v>2</v>
      </c>
      <c r="R217" s="49" t="str">
        <f>DataTable[HLD_Portfolio]&amp;DataTable[HLD_Date]</f>
        <v>SCBSFFPLUS43381</v>
      </c>
    </row>
    <row r="218" spans="1:18" x14ac:dyDescent="0.2">
      <c r="A218" s="49">
        <v>43381</v>
      </c>
      <c r="B218" t="s">
        <v>142</v>
      </c>
      <c r="C218" t="s">
        <v>116</v>
      </c>
      <c r="D218" t="s">
        <v>117</v>
      </c>
      <c r="F218" t="s">
        <v>276</v>
      </c>
      <c r="G218" t="s">
        <v>26</v>
      </c>
      <c r="H218" t="s">
        <v>27</v>
      </c>
      <c r="I218" s="49">
        <v>43497</v>
      </c>
      <c r="J218" s="47">
        <v>131658975.06999999</v>
      </c>
      <c r="L218">
        <v>0</v>
      </c>
      <c r="M218">
        <v>0</v>
      </c>
      <c r="N218">
        <v>0</v>
      </c>
      <c r="O218" t="s">
        <v>119</v>
      </c>
      <c r="P218" t="s">
        <v>23</v>
      </c>
      <c r="Q218" s="49">
        <v>2</v>
      </c>
      <c r="R218" s="49" t="str">
        <f>DataTable[HLD_Portfolio]&amp;DataTable[HLD_Date]</f>
        <v>SCBSFFPLUS43381</v>
      </c>
    </row>
    <row r="219" spans="1:18" x14ac:dyDescent="0.2">
      <c r="A219" s="49">
        <v>43381</v>
      </c>
      <c r="B219" t="s">
        <v>142</v>
      </c>
      <c r="C219" t="s">
        <v>116</v>
      </c>
      <c r="D219" t="s">
        <v>117</v>
      </c>
      <c r="F219" t="s">
        <v>277</v>
      </c>
      <c r="G219" t="s">
        <v>26</v>
      </c>
      <c r="H219" t="s">
        <v>27</v>
      </c>
      <c r="I219" s="49">
        <v>43509</v>
      </c>
      <c r="J219" s="47">
        <v>123161719.58</v>
      </c>
      <c r="L219">
        <v>0</v>
      </c>
      <c r="M219">
        <v>0</v>
      </c>
      <c r="N219">
        <v>0</v>
      </c>
      <c r="O219" t="s">
        <v>119</v>
      </c>
      <c r="P219" t="s">
        <v>23</v>
      </c>
      <c r="Q219" s="49">
        <v>2</v>
      </c>
      <c r="R219" s="49" t="str">
        <f>DataTable[HLD_Portfolio]&amp;DataTable[HLD_Date]</f>
        <v>SCBSFFPLUS43381</v>
      </c>
    </row>
    <row r="220" spans="1:18" x14ac:dyDescent="0.2">
      <c r="A220" s="49">
        <v>43381</v>
      </c>
      <c r="B220" t="s">
        <v>142</v>
      </c>
      <c r="C220" t="s">
        <v>116</v>
      </c>
      <c r="D220" t="s">
        <v>117</v>
      </c>
      <c r="F220" t="s">
        <v>278</v>
      </c>
      <c r="G220" t="s">
        <v>26</v>
      </c>
      <c r="H220" t="s">
        <v>27</v>
      </c>
      <c r="I220" s="49">
        <v>43530</v>
      </c>
      <c r="J220" s="47">
        <v>95976191.780000001</v>
      </c>
      <c r="L220">
        <v>0</v>
      </c>
      <c r="M220">
        <v>0</v>
      </c>
      <c r="N220">
        <v>0</v>
      </c>
      <c r="O220" t="s">
        <v>119</v>
      </c>
      <c r="P220" t="s">
        <v>23</v>
      </c>
      <c r="Q220" s="49">
        <v>2</v>
      </c>
      <c r="R220" s="49" t="str">
        <f>DataTable[HLD_Portfolio]&amp;DataTable[HLD_Date]</f>
        <v>SCBSFFPLUS43381</v>
      </c>
    </row>
    <row r="221" spans="1:18" x14ac:dyDescent="0.2">
      <c r="A221" s="49">
        <v>43381</v>
      </c>
      <c r="B221" t="s">
        <v>142</v>
      </c>
      <c r="C221" t="s">
        <v>116</v>
      </c>
      <c r="D221" t="s">
        <v>117</v>
      </c>
      <c r="F221" t="s">
        <v>279</v>
      </c>
      <c r="G221" t="s">
        <v>26</v>
      </c>
      <c r="H221" t="s">
        <v>27</v>
      </c>
      <c r="I221" s="49">
        <v>43545</v>
      </c>
      <c r="J221" s="47">
        <v>41435523.850000001</v>
      </c>
      <c r="L221">
        <v>0</v>
      </c>
      <c r="M221">
        <v>0</v>
      </c>
      <c r="N221">
        <v>0</v>
      </c>
      <c r="O221" t="s">
        <v>119</v>
      </c>
      <c r="P221" t="s">
        <v>23</v>
      </c>
      <c r="Q221" s="49">
        <v>2</v>
      </c>
      <c r="R221" s="49" t="str">
        <f>DataTable[HLD_Portfolio]&amp;DataTable[HLD_Date]</f>
        <v>SCBSFFPLUS43381</v>
      </c>
    </row>
    <row r="222" spans="1:18" x14ac:dyDescent="0.2">
      <c r="A222" s="49">
        <v>43381</v>
      </c>
      <c r="B222" t="s">
        <v>142</v>
      </c>
      <c r="C222" t="s">
        <v>116</v>
      </c>
      <c r="D222" t="s">
        <v>117</v>
      </c>
      <c r="F222" t="s">
        <v>280</v>
      </c>
      <c r="G222" t="s">
        <v>125</v>
      </c>
      <c r="H222" t="s">
        <v>126</v>
      </c>
      <c r="I222" s="49">
        <v>43546</v>
      </c>
      <c r="J222" s="47">
        <v>14556065.93</v>
      </c>
      <c r="L222">
        <v>0</v>
      </c>
      <c r="M222">
        <v>0</v>
      </c>
      <c r="N222">
        <v>0</v>
      </c>
      <c r="O222" t="s">
        <v>119</v>
      </c>
      <c r="P222" t="s">
        <v>23</v>
      </c>
      <c r="Q222" s="49">
        <v>2</v>
      </c>
      <c r="R222" s="49" t="str">
        <f>DataTable[HLD_Portfolio]&amp;DataTable[HLD_Date]</f>
        <v>SCBSFFPLUS43381</v>
      </c>
    </row>
    <row r="223" spans="1:18" x14ac:dyDescent="0.2">
      <c r="A223" s="49">
        <v>43381</v>
      </c>
      <c r="B223" t="s">
        <v>142</v>
      </c>
      <c r="C223" t="s">
        <v>116</v>
      </c>
      <c r="D223" t="s">
        <v>117</v>
      </c>
      <c r="F223" t="s">
        <v>281</v>
      </c>
      <c r="G223" t="s">
        <v>26</v>
      </c>
      <c r="H223" t="s">
        <v>27</v>
      </c>
      <c r="I223" s="49">
        <v>43551</v>
      </c>
      <c r="J223" s="47">
        <v>50046175.119999997</v>
      </c>
      <c r="L223">
        <v>0</v>
      </c>
      <c r="M223">
        <v>0</v>
      </c>
      <c r="N223">
        <v>0</v>
      </c>
      <c r="O223" t="s">
        <v>119</v>
      </c>
      <c r="P223" t="s">
        <v>23</v>
      </c>
      <c r="Q223" s="49">
        <v>2</v>
      </c>
      <c r="R223" s="49" t="str">
        <f>DataTable[HLD_Portfolio]&amp;DataTable[HLD_Date]</f>
        <v>SCBSFFPLUS43381</v>
      </c>
    </row>
    <row r="224" spans="1:18" x14ac:dyDescent="0.2">
      <c r="A224" s="49">
        <v>43381</v>
      </c>
      <c r="B224" t="s">
        <v>142</v>
      </c>
      <c r="C224" t="s">
        <v>116</v>
      </c>
      <c r="D224" t="s">
        <v>117</v>
      </c>
      <c r="F224" t="s">
        <v>282</v>
      </c>
      <c r="G224" t="s">
        <v>26</v>
      </c>
      <c r="H224" t="s">
        <v>27</v>
      </c>
      <c r="I224" s="49">
        <v>43552</v>
      </c>
      <c r="J224" s="47">
        <v>64818191.259999998</v>
      </c>
      <c r="L224">
        <v>0</v>
      </c>
      <c r="M224">
        <v>0</v>
      </c>
      <c r="N224">
        <v>0</v>
      </c>
      <c r="O224" t="s">
        <v>119</v>
      </c>
      <c r="P224" t="s">
        <v>23</v>
      </c>
      <c r="Q224" s="49">
        <v>2</v>
      </c>
      <c r="R224" s="49" t="str">
        <f>DataTable[HLD_Portfolio]&amp;DataTable[HLD_Date]</f>
        <v>SCBSFFPLUS43381</v>
      </c>
    </row>
    <row r="225" spans="1:18" x14ac:dyDescent="0.2">
      <c r="A225" s="49">
        <v>43381</v>
      </c>
      <c r="B225" t="s">
        <v>142</v>
      </c>
      <c r="C225" t="s">
        <v>116</v>
      </c>
      <c r="D225" t="s">
        <v>117</v>
      </c>
      <c r="F225" t="s">
        <v>283</v>
      </c>
      <c r="G225" t="s">
        <v>125</v>
      </c>
      <c r="H225" t="s">
        <v>126</v>
      </c>
      <c r="I225" s="49">
        <v>43587</v>
      </c>
      <c r="J225" s="47">
        <v>30371462.629999999</v>
      </c>
      <c r="L225">
        <v>0</v>
      </c>
      <c r="M225">
        <v>0</v>
      </c>
      <c r="N225">
        <v>0</v>
      </c>
      <c r="O225" t="s">
        <v>119</v>
      </c>
      <c r="P225" t="s">
        <v>23</v>
      </c>
      <c r="Q225" s="49">
        <v>2</v>
      </c>
      <c r="R225" s="49" t="str">
        <f>DataTable[HLD_Portfolio]&amp;DataTable[HLD_Date]</f>
        <v>SCBSFFPLUS43381</v>
      </c>
    </row>
    <row r="226" spans="1:18" x14ac:dyDescent="0.2">
      <c r="A226" s="49">
        <v>43381</v>
      </c>
      <c r="B226" t="s">
        <v>142</v>
      </c>
      <c r="C226" t="s">
        <v>116</v>
      </c>
      <c r="D226" t="s">
        <v>117</v>
      </c>
      <c r="F226" t="s">
        <v>284</v>
      </c>
      <c r="G226" t="s">
        <v>26</v>
      </c>
      <c r="H226" t="s">
        <v>27</v>
      </c>
      <c r="I226" s="49">
        <v>43608</v>
      </c>
      <c r="J226" s="47">
        <v>1914442.43</v>
      </c>
      <c r="L226">
        <v>0</v>
      </c>
      <c r="M226">
        <v>0</v>
      </c>
      <c r="N226">
        <v>0</v>
      </c>
      <c r="O226" t="s">
        <v>119</v>
      </c>
      <c r="P226" t="s">
        <v>23</v>
      </c>
      <c r="Q226" s="49">
        <v>2</v>
      </c>
      <c r="R226" s="49" t="str">
        <f>DataTable[HLD_Portfolio]&amp;DataTable[HLD_Date]</f>
        <v>SCBSFFPLUS43381</v>
      </c>
    </row>
    <row r="227" spans="1:18" x14ac:dyDescent="0.2">
      <c r="A227" s="49">
        <v>43381</v>
      </c>
      <c r="B227" t="s">
        <v>142</v>
      </c>
      <c r="C227" t="s">
        <v>116</v>
      </c>
      <c r="D227" t="s">
        <v>117</v>
      </c>
      <c r="F227" t="s">
        <v>285</v>
      </c>
      <c r="G227" t="s">
        <v>26</v>
      </c>
      <c r="H227" t="s">
        <v>27</v>
      </c>
      <c r="I227" s="49">
        <v>43616</v>
      </c>
      <c r="J227" s="47">
        <v>-26470491.640000001</v>
      </c>
      <c r="L227">
        <v>0</v>
      </c>
      <c r="M227">
        <v>0</v>
      </c>
      <c r="N227">
        <v>0</v>
      </c>
      <c r="O227" t="s">
        <v>119</v>
      </c>
      <c r="P227" t="s">
        <v>23</v>
      </c>
      <c r="Q227" s="49">
        <v>2</v>
      </c>
      <c r="R227" s="49" t="str">
        <f>DataTable[HLD_Portfolio]&amp;DataTable[HLD_Date]</f>
        <v>SCBSFFPLUS43381</v>
      </c>
    </row>
    <row r="228" spans="1:18" x14ac:dyDescent="0.2">
      <c r="A228" s="49">
        <v>43381</v>
      </c>
      <c r="B228" t="s">
        <v>142</v>
      </c>
      <c r="C228" t="s">
        <v>116</v>
      </c>
      <c r="D228" t="s">
        <v>117</v>
      </c>
      <c r="F228" t="s">
        <v>286</v>
      </c>
      <c r="G228" t="s">
        <v>26</v>
      </c>
      <c r="H228" t="s">
        <v>27</v>
      </c>
      <c r="I228" s="49">
        <v>43395</v>
      </c>
      <c r="J228" s="47">
        <v>11379082.51</v>
      </c>
      <c r="L228">
        <v>0</v>
      </c>
      <c r="M228">
        <v>0</v>
      </c>
      <c r="N228">
        <v>0</v>
      </c>
      <c r="O228" t="s">
        <v>119</v>
      </c>
      <c r="P228" t="s">
        <v>23</v>
      </c>
      <c r="Q228" s="49">
        <v>2</v>
      </c>
      <c r="R228" s="49" t="str">
        <f>DataTable[HLD_Portfolio]&amp;DataTable[HLD_Date]</f>
        <v>SCBSFFPLUS43381</v>
      </c>
    </row>
    <row r="229" spans="1:18" x14ac:dyDescent="0.2">
      <c r="A229" s="49">
        <v>43381</v>
      </c>
      <c r="B229" t="s">
        <v>142</v>
      </c>
      <c r="C229" t="s">
        <v>116</v>
      </c>
      <c r="D229" t="s">
        <v>117</v>
      </c>
      <c r="F229" t="s">
        <v>287</v>
      </c>
      <c r="G229" t="s">
        <v>26</v>
      </c>
      <c r="H229" t="s">
        <v>27</v>
      </c>
      <c r="I229" s="49">
        <v>43536</v>
      </c>
      <c r="J229" s="47">
        <v>-10646031.289999999</v>
      </c>
      <c r="L229">
        <v>0</v>
      </c>
      <c r="M229">
        <v>0</v>
      </c>
      <c r="N229">
        <v>0</v>
      </c>
      <c r="O229" t="s">
        <v>119</v>
      </c>
      <c r="P229" t="s">
        <v>23</v>
      </c>
      <c r="Q229" s="49">
        <v>2</v>
      </c>
      <c r="R229" s="49" t="str">
        <f>DataTable[HLD_Portfolio]&amp;DataTable[HLD_Date]</f>
        <v>SCBSFFPLUS43381</v>
      </c>
    </row>
    <row r="230" spans="1:18" x14ac:dyDescent="0.2">
      <c r="A230" s="49">
        <v>43381</v>
      </c>
      <c r="B230" t="s">
        <v>142</v>
      </c>
      <c r="C230" t="s">
        <v>116</v>
      </c>
      <c r="D230" t="s">
        <v>117</v>
      </c>
      <c r="F230" t="s">
        <v>288</v>
      </c>
      <c r="G230" t="s">
        <v>289</v>
      </c>
      <c r="H230" t="s">
        <v>43</v>
      </c>
      <c r="I230" s="49">
        <v>43452</v>
      </c>
      <c r="J230" s="47">
        <v>-43941477</v>
      </c>
      <c r="L230">
        <v>0</v>
      </c>
      <c r="M230">
        <v>0</v>
      </c>
      <c r="N230">
        <v>0</v>
      </c>
      <c r="O230" t="s">
        <v>119</v>
      </c>
      <c r="P230" t="s">
        <v>23</v>
      </c>
      <c r="Q230" s="49">
        <v>2</v>
      </c>
      <c r="R230" s="49" t="str">
        <f>DataTable[HLD_Portfolio]&amp;DataTable[HLD_Date]</f>
        <v>SCBSFFPLUS43381</v>
      </c>
    </row>
    <row r="231" spans="1:18" x14ac:dyDescent="0.2">
      <c r="A231" s="49">
        <v>43381</v>
      </c>
      <c r="B231" t="s">
        <v>142</v>
      </c>
      <c r="C231" t="s">
        <v>116</v>
      </c>
      <c r="D231" t="s">
        <v>117</v>
      </c>
      <c r="F231" t="s">
        <v>290</v>
      </c>
      <c r="G231" t="s">
        <v>125</v>
      </c>
      <c r="H231" t="s">
        <v>126</v>
      </c>
      <c r="I231" s="49">
        <v>43410</v>
      </c>
      <c r="J231" s="47">
        <v>-713185.09</v>
      </c>
      <c r="L231">
        <v>0</v>
      </c>
      <c r="M231">
        <v>0</v>
      </c>
      <c r="N231">
        <v>0</v>
      </c>
      <c r="O231" t="s">
        <v>119</v>
      </c>
      <c r="P231" t="s">
        <v>23</v>
      </c>
      <c r="Q231" s="49">
        <v>2</v>
      </c>
      <c r="R231" s="49" t="str">
        <f>DataTable[HLD_Portfolio]&amp;DataTable[HLD_Date]</f>
        <v>SCBSFFPLUS43381</v>
      </c>
    </row>
    <row r="232" spans="1:18" x14ac:dyDescent="0.2">
      <c r="A232" s="49">
        <v>43381</v>
      </c>
      <c r="B232" t="s">
        <v>142</v>
      </c>
      <c r="C232" t="s">
        <v>116</v>
      </c>
      <c r="D232" t="s">
        <v>117</v>
      </c>
      <c r="F232" t="s">
        <v>291</v>
      </c>
      <c r="G232" t="s">
        <v>26</v>
      </c>
      <c r="H232" t="s">
        <v>27</v>
      </c>
      <c r="I232" s="49">
        <v>43423</v>
      </c>
      <c r="J232" s="47">
        <v>-62071458.170000002</v>
      </c>
      <c r="L232">
        <v>0</v>
      </c>
      <c r="M232">
        <v>0</v>
      </c>
      <c r="N232">
        <v>0</v>
      </c>
      <c r="O232" t="s">
        <v>119</v>
      </c>
      <c r="P232" t="s">
        <v>23</v>
      </c>
      <c r="Q232" s="49">
        <v>2</v>
      </c>
      <c r="R232" s="49" t="str">
        <f>DataTable[HLD_Portfolio]&amp;DataTable[HLD_Date]</f>
        <v>SCBSFFPLUS43381</v>
      </c>
    </row>
    <row r="233" spans="1:18" x14ac:dyDescent="0.2">
      <c r="A233" s="49">
        <v>43381</v>
      </c>
      <c r="B233" t="s">
        <v>142</v>
      </c>
      <c r="C233" t="s">
        <v>116</v>
      </c>
      <c r="D233" t="s">
        <v>117</v>
      </c>
      <c r="F233" t="s">
        <v>292</v>
      </c>
      <c r="G233" t="s">
        <v>26</v>
      </c>
      <c r="H233" t="s">
        <v>27</v>
      </c>
      <c r="I233" s="49">
        <v>43424</v>
      </c>
      <c r="J233" s="47">
        <v>-14953313.720000001</v>
      </c>
      <c r="L233">
        <v>0</v>
      </c>
      <c r="M233">
        <v>0</v>
      </c>
      <c r="N233">
        <v>0</v>
      </c>
      <c r="O233" t="s">
        <v>119</v>
      </c>
      <c r="P233" t="s">
        <v>23</v>
      </c>
      <c r="Q233" s="49">
        <v>2</v>
      </c>
      <c r="R233" s="49" t="str">
        <f>DataTable[HLD_Portfolio]&amp;DataTable[HLD_Date]</f>
        <v>SCBSFFPLUS43381</v>
      </c>
    </row>
    <row r="234" spans="1:18" x14ac:dyDescent="0.2">
      <c r="A234" s="49">
        <v>43381</v>
      </c>
      <c r="B234" t="s">
        <v>142</v>
      </c>
      <c r="C234" t="s">
        <v>116</v>
      </c>
      <c r="D234" t="s">
        <v>117</v>
      </c>
      <c r="F234" t="s">
        <v>293</v>
      </c>
      <c r="G234" t="s">
        <v>26</v>
      </c>
      <c r="H234" t="s">
        <v>27</v>
      </c>
      <c r="I234" s="49">
        <v>43430</v>
      </c>
      <c r="J234" s="47">
        <v>-54813250.399999999</v>
      </c>
      <c r="L234">
        <v>0</v>
      </c>
      <c r="M234">
        <v>0</v>
      </c>
      <c r="N234">
        <v>0</v>
      </c>
      <c r="O234" t="s">
        <v>119</v>
      </c>
      <c r="P234" t="s">
        <v>23</v>
      </c>
      <c r="Q234" s="49">
        <v>2</v>
      </c>
      <c r="R234" s="49" t="str">
        <f>DataTable[HLD_Portfolio]&amp;DataTable[HLD_Date]</f>
        <v>SCBSFFPLUS43381</v>
      </c>
    </row>
    <row r="235" spans="1:18" x14ac:dyDescent="0.2">
      <c r="A235" s="49">
        <v>43381</v>
      </c>
      <c r="B235" t="s">
        <v>142</v>
      </c>
      <c r="C235" t="s">
        <v>116</v>
      </c>
      <c r="D235" t="s">
        <v>117</v>
      </c>
      <c r="F235" t="s">
        <v>294</v>
      </c>
      <c r="G235" t="s">
        <v>26</v>
      </c>
      <c r="H235" t="s">
        <v>27</v>
      </c>
      <c r="I235" s="49">
        <v>43389</v>
      </c>
      <c r="J235" s="47">
        <v>-1847188.55</v>
      </c>
      <c r="L235">
        <v>0</v>
      </c>
      <c r="M235">
        <v>0</v>
      </c>
      <c r="N235">
        <v>0</v>
      </c>
      <c r="O235" t="s">
        <v>119</v>
      </c>
      <c r="P235" t="s">
        <v>23</v>
      </c>
      <c r="Q235" s="49">
        <v>2</v>
      </c>
      <c r="R235" s="49" t="str">
        <f>DataTable[HLD_Portfolio]&amp;DataTable[HLD_Date]</f>
        <v>SCBSFFPLUS43381</v>
      </c>
    </row>
    <row r="236" spans="1:18" x14ac:dyDescent="0.2">
      <c r="A236" s="49">
        <v>43381</v>
      </c>
      <c r="B236" t="s">
        <v>142</v>
      </c>
      <c r="C236" t="s">
        <v>116</v>
      </c>
      <c r="D236" t="s">
        <v>117</v>
      </c>
      <c r="F236" t="s">
        <v>295</v>
      </c>
      <c r="G236" t="s">
        <v>26</v>
      </c>
      <c r="H236" t="s">
        <v>27</v>
      </c>
      <c r="I236" s="49">
        <v>43389</v>
      </c>
      <c r="J236" s="47">
        <v>3150851.44</v>
      </c>
      <c r="L236">
        <v>0</v>
      </c>
      <c r="M236">
        <v>0</v>
      </c>
      <c r="N236">
        <v>0</v>
      </c>
      <c r="O236" t="s">
        <v>119</v>
      </c>
      <c r="P236" t="s">
        <v>23</v>
      </c>
      <c r="Q236" s="49">
        <v>2</v>
      </c>
      <c r="R236" s="49" t="str">
        <f>DataTable[HLD_Portfolio]&amp;DataTable[HLD_Date]</f>
        <v>SCBSFFPLUS43381</v>
      </c>
    </row>
    <row r="237" spans="1:18" x14ac:dyDescent="0.2">
      <c r="A237" s="49">
        <v>43381</v>
      </c>
      <c r="B237" t="s">
        <v>142</v>
      </c>
      <c r="C237" t="s">
        <v>116</v>
      </c>
      <c r="D237" t="s">
        <v>117</v>
      </c>
      <c r="F237" t="s">
        <v>296</v>
      </c>
      <c r="G237" t="s">
        <v>26</v>
      </c>
      <c r="H237" t="s">
        <v>27</v>
      </c>
      <c r="I237" s="49">
        <v>43398</v>
      </c>
      <c r="J237" s="47">
        <v>-70332525.569999993</v>
      </c>
      <c r="L237">
        <v>0</v>
      </c>
      <c r="M237">
        <v>0</v>
      </c>
      <c r="N237">
        <v>0</v>
      </c>
      <c r="O237" t="s">
        <v>119</v>
      </c>
      <c r="P237" t="s">
        <v>23</v>
      </c>
      <c r="Q237" s="49">
        <v>2</v>
      </c>
      <c r="R237" s="49" t="str">
        <f>DataTable[HLD_Portfolio]&amp;DataTable[HLD_Date]</f>
        <v>SCBSFFPLUS43381</v>
      </c>
    </row>
    <row r="238" spans="1:18" x14ac:dyDescent="0.2">
      <c r="A238" s="49">
        <v>43381</v>
      </c>
      <c r="B238" t="s">
        <v>142</v>
      </c>
      <c r="C238" t="s">
        <v>116</v>
      </c>
      <c r="D238" t="s">
        <v>117</v>
      </c>
      <c r="F238" t="s">
        <v>297</v>
      </c>
      <c r="G238" t="s">
        <v>26</v>
      </c>
      <c r="H238" t="s">
        <v>27</v>
      </c>
      <c r="I238" s="49">
        <v>43473</v>
      </c>
      <c r="J238" s="47">
        <v>-90670094.549999997</v>
      </c>
      <c r="L238">
        <v>0</v>
      </c>
      <c r="M238">
        <v>0</v>
      </c>
      <c r="N238">
        <v>0</v>
      </c>
      <c r="O238" t="s">
        <v>119</v>
      </c>
      <c r="P238" t="s">
        <v>23</v>
      </c>
      <c r="Q238" s="49">
        <v>2</v>
      </c>
      <c r="R238" s="49" t="str">
        <f>DataTable[HLD_Portfolio]&amp;DataTable[HLD_Date]</f>
        <v>SCBSFFPLUS43381</v>
      </c>
    </row>
    <row r="239" spans="1:18" x14ac:dyDescent="0.2">
      <c r="A239" s="49">
        <v>43381</v>
      </c>
      <c r="B239" t="s">
        <v>142</v>
      </c>
      <c r="C239" t="s">
        <v>116</v>
      </c>
      <c r="D239" t="s">
        <v>117</v>
      </c>
      <c r="F239" t="s">
        <v>298</v>
      </c>
      <c r="G239" t="s">
        <v>26</v>
      </c>
      <c r="H239" t="s">
        <v>27</v>
      </c>
      <c r="I239" s="49">
        <v>43474</v>
      </c>
      <c r="J239" s="47">
        <v>-101348687.88</v>
      </c>
      <c r="L239">
        <v>0</v>
      </c>
      <c r="M239">
        <v>0</v>
      </c>
      <c r="N239">
        <v>0</v>
      </c>
      <c r="O239" t="s">
        <v>119</v>
      </c>
      <c r="P239" t="s">
        <v>23</v>
      </c>
      <c r="Q239" s="49">
        <v>2</v>
      </c>
      <c r="R239" s="49" t="str">
        <f>DataTable[HLD_Portfolio]&amp;DataTable[HLD_Date]</f>
        <v>SCBSFFPLUS43381</v>
      </c>
    </row>
    <row r="240" spans="1:18" x14ac:dyDescent="0.2">
      <c r="A240" s="49">
        <v>43381</v>
      </c>
      <c r="B240" t="s">
        <v>142</v>
      </c>
      <c r="C240" t="s">
        <v>116</v>
      </c>
      <c r="D240" t="s">
        <v>117</v>
      </c>
      <c r="F240" t="s">
        <v>299</v>
      </c>
      <c r="G240" t="s">
        <v>125</v>
      </c>
      <c r="H240" t="s">
        <v>126</v>
      </c>
      <c r="I240" s="49">
        <v>43481</v>
      </c>
      <c r="J240" s="47">
        <v>-30781906.879999999</v>
      </c>
      <c r="L240">
        <v>0</v>
      </c>
      <c r="M240">
        <v>0</v>
      </c>
      <c r="N240">
        <v>0</v>
      </c>
      <c r="O240" t="s">
        <v>119</v>
      </c>
      <c r="P240" t="s">
        <v>23</v>
      </c>
      <c r="Q240" s="49">
        <v>2</v>
      </c>
      <c r="R240" s="49" t="str">
        <f>DataTable[HLD_Portfolio]&amp;DataTable[HLD_Date]</f>
        <v>SCBSFFPLUS43381</v>
      </c>
    </row>
    <row r="241" spans="1:18" x14ac:dyDescent="0.2">
      <c r="A241" s="49">
        <v>43381</v>
      </c>
      <c r="B241" t="s">
        <v>142</v>
      </c>
      <c r="C241" t="s">
        <v>116</v>
      </c>
      <c r="D241" t="s">
        <v>117</v>
      </c>
      <c r="F241" t="s">
        <v>300</v>
      </c>
      <c r="G241" t="s">
        <v>125</v>
      </c>
      <c r="H241" t="s">
        <v>126</v>
      </c>
      <c r="I241" s="49">
        <v>43504</v>
      </c>
      <c r="J241" s="47">
        <v>-78791795.939999998</v>
      </c>
      <c r="L241">
        <v>0</v>
      </c>
      <c r="M241">
        <v>0</v>
      </c>
      <c r="N241">
        <v>0</v>
      </c>
      <c r="O241" t="s">
        <v>119</v>
      </c>
      <c r="P241" t="s">
        <v>23</v>
      </c>
      <c r="Q241" s="49">
        <v>2</v>
      </c>
      <c r="R241" s="49" t="str">
        <f>DataTable[HLD_Portfolio]&amp;DataTable[HLD_Date]</f>
        <v>SCBSFFPLUS43381</v>
      </c>
    </row>
    <row r="242" spans="1:18" x14ac:dyDescent="0.2">
      <c r="A242" s="49">
        <v>43381</v>
      </c>
      <c r="B242" t="s">
        <v>142</v>
      </c>
      <c r="C242" t="s">
        <v>116</v>
      </c>
      <c r="D242" t="s">
        <v>117</v>
      </c>
      <c r="F242" t="s">
        <v>301</v>
      </c>
      <c r="G242" t="s">
        <v>125</v>
      </c>
      <c r="H242" t="s">
        <v>126</v>
      </c>
      <c r="I242" s="49">
        <v>43531</v>
      </c>
      <c r="J242" s="47">
        <v>-179176062.33000001</v>
      </c>
      <c r="L242">
        <v>0</v>
      </c>
      <c r="M242">
        <v>0</v>
      </c>
      <c r="N242">
        <v>0</v>
      </c>
      <c r="O242" t="s">
        <v>119</v>
      </c>
      <c r="P242" t="s">
        <v>23</v>
      </c>
      <c r="Q242" s="49">
        <v>2</v>
      </c>
      <c r="R242" s="49" t="str">
        <f>DataTable[HLD_Portfolio]&amp;DataTable[HLD_Date]</f>
        <v>SCBSFFPLUS43381</v>
      </c>
    </row>
    <row r="243" spans="1:18" x14ac:dyDescent="0.2">
      <c r="A243" s="49">
        <v>43381</v>
      </c>
      <c r="B243" t="s">
        <v>142</v>
      </c>
      <c r="C243" t="s">
        <v>116</v>
      </c>
      <c r="D243" t="s">
        <v>117</v>
      </c>
      <c r="F243" t="s">
        <v>302</v>
      </c>
      <c r="G243" t="s">
        <v>26</v>
      </c>
      <c r="H243" t="s">
        <v>27</v>
      </c>
      <c r="I243" s="49">
        <v>43564</v>
      </c>
      <c r="J243" s="47">
        <v>-205897132.81</v>
      </c>
      <c r="L243">
        <v>0</v>
      </c>
      <c r="M243">
        <v>0</v>
      </c>
      <c r="N243">
        <v>0</v>
      </c>
      <c r="O243" t="s">
        <v>119</v>
      </c>
      <c r="P243" t="s">
        <v>23</v>
      </c>
      <c r="Q243" s="49">
        <v>2</v>
      </c>
      <c r="R243" s="49" t="str">
        <f>DataTable[HLD_Portfolio]&amp;DataTable[HLD_Date]</f>
        <v>SCBSFFPLUS43381</v>
      </c>
    </row>
    <row r="244" spans="1:18" x14ac:dyDescent="0.2">
      <c r="A244" s="49">
        <v>43381</v>
      </c>
      <c r="B244" t="s">
        <v>142</v>
      </c>
      <c r="C244" t="s">
        <v>116</v>
      </c>
      <c r="D244" t="s">
        <v>117</v>
      </c>
      <c r="F244" t="s">
        <v>303</v>
      </c>
      <c r="G244" t="s">
        <v>125</v>
      </c>
      <c r="H244" t="s">
        <v>126</v>
      </c>
      <c r="I244" s="49">
        <v>43581</v>
      </c>
      <c r="J244" s="47">
        <v>-107210441.81</v>
      </c>
      <c r="L244">
        <v>0</v>
      </c>
      <c r="M244">
        <v>0</v>
      </c>
      <c r="N244">
        <v>0</v>
      </c>
      <c r="O244" t="s">
        <v>119</v>
      </c>
      <c r="P244" t="s">
        <v>23</v>
      </c>
      <c r="Q244" s="49">
        <v>2</v>
      </c>
      <c r="R244" s="49" t="str">
        <f>DataTable[HLD_Portfolio]&amp;DataTable[HLD_Date]</f>
        <v>SCBSFFPLUS43381</v>
      </c>
    </row>
    <row r="245" spans="1:18" x14ac:dyDescent="0.2">
      <c r="A245" s="49">
        <v>43381</v>
      </c>
      <c r="B245" t="s">
        <v>142</v>
      </c>
      <c r="C245" t="s">
        <v>116</v>
      </c>
      <c r="D245" t="s">
        <v>117</v>
      </c>
      <c r="F245" t="s">
        <v>304</v>
      </c>
      <c r="G245" t="s">
        <v>26</v>
      </c>
      <c r="H245" t="s">
        <v>27</v>
      </c>
      <c r="I245" s="49">
        <v>43593</v>
      </c>
      <c r="J245" s="47">
        <v>-122909014.45999999</v>
      </c>
      <c r="L245">
        <v>0</v>
      </c>
      <c r="M245">
        <v>0</v>
      </c>
      <c r="N245">
        <v>0</v>
      </c>
      <c r="O245" t="s">
        <v>119</v>
      </c>
      <c r="P245" t="s">
        <v>23</v>
      </c>
      <c r="Q245" s="49">
        <v>2</v>
      </c>
      <c r="R245" s="49" t="str">
        <f>DataTable[HLD_Portfolio]&amp;DataTable[HLD_Date]</f>
        <v>SCBSFFPLUS43381</v>
      </c>
    </row>
    <row r="246" spans="1:18" x14ac:dyDescent="0.2">
      <c r="A246" s="49">
        <v>43381</v>
      </c>
      <c r="B246" t="s">
        <v>142</v>
      </c>
      <c r="C246" t="s">
        <v>116</v>
      </c>
      <c r="D246" t="s">
        <v>117</v>
      </c>
      <c r="F246" t="s">
        <v>305</v>
      </c>
      <c r="G246" t="s">
        <v>26</v>
      </c>
      <c r="H246" t="s">
        <v>27</v>
      </c>
      <c r="I246" s="49">
        <v>43598</v>
      </c>
      <c r="J246" s="47">
        <v>-108074572.76000001</v>
      </c>
      <c r="L246">
        <v>0</v>
      </c>
      <c r="M246">
        <v>0</v>
      </c>
      <c r="N246">
        <v>0</v>
      </c>
      <c r="O246" t="s">
        <v>119</v>
      </c>
      <c r="P246" t="s">
        <v>23</v>
      </c>
      <c r="Q246" s="49">
        <v>2</v>
      </c>
      <c r="R246" s="49" t="str">
        <f>DataTable[HLD_Portfolio]&amp;DataTable[HLD_Date]</f>
        <v>SCBSFFPLUS43381</v>
      </c>
    </row>
    <row r="247" spans="1:18" x14ac:dyDescent="0.2">
      <c r="A247" s="49">
        <v>43381</v>
      </c>
      <c r="B247" t="s">
        <v>142</v>
      </c>
      <c r="C247" t="s">
        <v>116</v>
      </c>
      <c r="D247" t="s">
        <v>117</v>
      </c>
      <c r="F247" t="s">
        <v>306</v>
      </c>
      <c r="G247" t="s">
        <v>125</v>
      </c>
      <c r="H247" t="s">
        <v>126</v>
      </c>
      <c r="I247" s="49">
        <v>43641</v>
      </c>
      <c r="J247" s="47">
        <v>-12358531.01</v>
      </c>
      <c r="L247">
        <v>0</v>
      </c>
      <c r="M247">
        <v>0</v>
      </c>
      <c r="N247">
        <v>0</v>
      </c>
      <c r="O247" t="s">
        <v>119</v>
      </c>
      <c r="P247" t="s">
        <v>23</v>
      </c>
      <c r="Q247" s="49">
        <v>2</v>
      </c>
      <c r="R247" s="49" t="str">
        <f>DataTable[HLD_Portfolio]&amp;DataTable[HLD_Date]</f>
        <v>SCBSFFPLUS43381</v>
      </c>
    </row>
    <row r="248" spans="1:18" x14ac:dyDescent="0.2">
      <c r="A248" s="49">
        <v>43381</v>
      </c>
      <c r="B248" t="s">
        <v>142</v>
      </c>
      <c r="C248" t="s">
        <v>116</v>
      </c>
      <c r="D248" t="s">
        <v>117</v>
      </c>
      <c r="F248" t="s">
        <v>307</v>
      </c>
      <c r="G248" t="s">
        <v>26</v>
      </c>
      <c r="H248" t="s">
        <v>27</v>
      </c>
      <c r="I248" s="49">
        <v>43644</v>
      </c>
      <c r="J248" s="47">
        <v>-10250726.960000001</v>
      </c>
      <c r="L248">
        <v>0</v>
      </c>
      <c r="M248">
        <v>0</v>
      </c>
      <c r="N248">
        <v>0</v>
      </c>
      <c r="O248" t="s">
        <v>119</v>
      </c>
      <c r="P248" t="s">
        <v>23</v>
      </c>
      <c r="Q248" s="49">
        <v>2</v>
      </c>
      <c r="R248" s="49" t="str">
        <f>DataTable[HLD_Portfolio]&amp;DataTable[HLD_Date]</f>
        <v>SCBSFFPLUS43381</v>
      </c>
    </row>
    <row r="249" spans="1:18" x14ac:dyDescent="0.2">
      <c r="A249" s="49">
        <v>43381</v>
      </c>
      <c r="B249" t="s">
        <v>142</v>
      </c>
      <c r="C249" t="s">
        <v>116</v>
      </c>
      <c r="D249" t="s">
        <v>117</v>
      </c>
      <c r="F249" t="s">
        <v>308</v>
      </c>
      <c r="G249" t="s">
        <v>26</v>
      </c>
      <c r="H249" t="s">
        <v>27</v>
      </c>
      <c r="I249" s="49">
        <v>43739</v>
      </c>
      <c r="J249" s="47">
        <v>-58159421.039999999</v>
      </c>
      <c r="L249">
        <v>0</v>
      </c>
      <c r="M249">
        <v>0</v>
      </c>
      <c r="N249">
        <v>0</v>
      </c>
      <c r="O249" t="s">
        <v>119</v>
      </c>
      <c r="P249" t="s">
        <v>23</v>
      </c>
      <c r="Q249" s="49">
        <v>2</v>
      </c>
      <c r="R249" s="49" t="str">
        <f>DataTable[HLD_Portfolio]&amp;DataTable[HLD_Date]</f>
        <v>SCBSFFPLUS43381</v>
      </c>
    </row>
    <row r="250" spans="1:18" x14ac:dyDescent="0.2">
      <c r="A250" s="49">
        <v>43381</v>
      </c>
      <c r="B250" t="s">
        <v>142</v>
      </c>
      <c r="C250" t="s">
        <v>116</v>
      </c>
      <c r="D250" t="s">
        <v>117</v>
      </c>
      <c r="F250" t="s">
        <v>309</v>
      </c>
      <c r="G250" t="s">
        <v>26</v>
      </c>
      <c r="H250" t="s">
        <v>27</v>
      </c>
      <c r="I250" s="49">
        <v>43740</v>
      </c>
      <c r="J250" s="47">
        <v>-49660356.829999998</v>
      </c>
      <c r="L250">
        <v>0</v>
      </c>
      <c r="M250">
        <v>0</v>
      </c>
      <c r="N250">
        <v>0</v>
      </c>
      <c r="O250" t="s">
        <v>119</v>
      </c>
      <c r="P250" t="s">
        <v>23</v>
      </c>
      <c r="Q250" s="49">
        <v>2</v>
      </c>
      <c r="R250" s="49" t="str">
        <f>DataTable[HLD_Portfolio]&amp;DataTable[HLD_Date]</f>
        <v>SCBSFFPLUS43381</v>
      </c>
    </row>
    <row r="251" spans="1:18" x14ac:dyDescent="0.2">
      <c r="A251" s="49">
        <v>43381</v>
      </c>
      <c r="B251" t="s">
        <v>142</v>
      </c>
      <c r="C251" t="s">
        <v>131</v>
      </c>
      <c r="D251" t="s">
        <v>313</v>
      </c>
      <c r="E251" t="s">
        <v>389</v>
      </c>
      <c r="F251" t="s">
        <v>94</v>
      </c>
      <c r="I251" s="49"/>
      <c r="J251" s="47">
        <v>744450860.54999995</v>
      </c>
      <c r="L251">
        <v>744450860.54999995</v>
      </c>
      <c r="N251">
        <v>0</v>
      </c>
      <c r="O251" t="s">
        <v>42</v>
      </c>
      <c r="P251" t="s">
        <v>23</v>
      </c>
      <c r="Q251" s="49">
        <v>43314</v>
      </c>
      <c r="R251" s="49" t="str">
        <f>DataTable[HLD_Portfolio]&amp;DataTable[HLD_Date]</f>
        <v>SCBSFFPLUS43381</v>
      </c>
    </row>
    <row r="252" spans="1:18" x14ac:dyDescent="0.2">
      <c r="A252" s="49">
        <v>43381</v>
      </c>
      <c r="B252" t="s">
        <v>142</v>
      </c>
      <c r="C252" t="s">
        <v>131</v>
      </c>
      <c r="D252" t="s">
        <v>313</v>
      </c>
      <c r="E252" t="s">
        <v>389</v>
      </c>
      <c r="F252" t="s">
        <v>98</v>
      </c>
      <c r="I252" s="49"/>
      <c r="J252" s="47">
        <v>239714476.80000001</v>
      </c>
      <c r="L252">
        <v>239714476.80000001</v>
      </c>
      <c r="N252">
        <v>0</v>
      </c>
      <c r="O252" t="s">
        <v>42</v>
      </c>
      <c r="P252" t="s">
        <v>23</v>
      </c>
      <c r="Q252" s="49">
        <v>43328</v>
      </c>
      <c r="R252" s="49" t="str">
        <f>DataTable[HLD_Portfolio]&amp;DataTable[HLD_Date]</f>
        <v>SCBSFFPLUS43381</v>
      </c>
    </row>
    <row r="253" spans="1:18" x14ac:dyDescent="0.2">
      <c r="A253" s="49">
        <v>43381</v>
      </c>
      <c r="B253" t="s">
        <v>142</v>
      </c>
      <c r="C253" t="s">
        <v>131</v>
      </c>
      <c r="D253" t="s">
        <v>310</v>
      </c>
      <c r="E253" t="s">
        <v>389</v>
      </c>
      <c r="F253" t="s">
        <v>20</v>
      </c>
      <c r="I253" s="49"/>
      <c r="J253" s="47">
        <v>36174388.490000002</v>
      </c>
      <c r="L253">
        <v>36174388.490000002</v>
      </c>
      <c r="M253">
        <v>0</v>
      </c>
      <c r="N253">
        <v>0</v>
      </c>
      <c r="O253" t="s">
        <v>22</v>
      </c>
      <c r="P253" t="s">
        <v>23</v>
      </c>
      <c r="Q253" s="49">
        <v>2</v>
      </c>
      <c r="R253" s="49" t="str">
        <f>DataTable[HLD_Portfolio]&amp;DataTable[HLD_Date]</f>
        <v>SCBSFFPLUS43381</v>
      </c>
    </row>
    <row r="254" spans="1:18" x14ac:dyDescent="0.2">
      <c r="A254" s="49">
        <v>43381</v>
      </c>
      <c r="B254" t="s">
        <v>142</v>
      </c>
      <c r="C254" t="s">
        <v>132</v>
      </c>
      <c r="D254" t="s">
        <v>133</v>
      </c>
      <c r="E254" t="s">
        <v>389</v>
      </c>
      <c r="F254" t="s">
        <v>210</v>
      </c>
      <c r="I254" s="49"/>
      <c r="J254" s="47">
        <v>-19950969.800000001</v>
      </c>
      <c r="L254">
        <v>-19950969.800000001</v>
      </c>
      <c r="N254">
        <v>0</v>
      </c>
      <c r="O254" t="s">
        <v>42</v>
      </c>
      <c r="P254" t="s">
        <v>23</v>
      </c>
      <c r="Q254" s="49">
        <v>43265</v>
      </c>
      <c r="R254" s="49" t="str">
        <f>DataTable[HLD_Portfolio]&amp;DataTable[HLD_Date]</f>
        <v>SCBSFFPLUS43381</v>
      </c>
    </row>
    <row r="255" spans="1:18" x14ac:dyDescent="0.2">
      <c r="A255" s="49">
        <v>43381</v>
      </c>
      <c r="B255" t="s">
        <v>142</v>
      </c>
      <c r="C255" t="s">
        <v>132</v>
      </c>
      <c r="D255" t="s">
        <v>133</v>
      </c>
      <c r="E255" t="s">
        <v>389</v>
      </c>
      <c r="F255" t="s">
        <v>212</v>
      </c>
      <c r="I255" s="49"/>
      <c r="J255" s="47">
        <v>-214842959.69999999</v>
      </c>
      <c r="L255">
        <v>-214842959.69999999</v>
      </c>
      <c r="N255">
        <v>0</v>
      </c>
      <c r="O255" t="s">
        <v>42</v>
      </c>
      <c r="P255" t="s">
        <v>23</v>
      </c>
      <c r="Q255" s="49">
        <v>43223</v>
      </c>
      <c r="R255" s="49" t="str">
        <f>DataTable[HLD_Portfolio]&amp;DataTable[HLD_Date]</f>
        <v>SCBSFFPLUS43381</v>
      </c>
    </row>
    <row r="256" spans="1:18" x14ac:dyDescent="0.2">
      <c r="A256" s="49">
        <v>43381</v>
      </c>
      <c r="B256" t="s">
        <v>142</v>
      </c>
      <c r="C256" t="s">
        <v>132</v>
      </c>
      <c r="D256" t="s">
        <v>133</v>
      </c>
      <c r="E256" t="s">
        <v>389</v>
      </c>
      <c r="F256" t="s">
        <v>106</v>
      </c>
      <c r="I256" s="49"/>
      <c r="J256" s="47">
        <v>-6998476.6600000001</v>
      </c>
      <c r="L256">
        <v>-6998476.6600000001</v>
      </c>
      <c r="N256">
        <v>0</v>
      </c>
      <c r="O256" t="s">
        <v>42</v>
      </c>
      <c r="P256" t="s">
        <v>23</v>
      </c>
      <c r="Q256" s="49">
        <v>43375</v>
      </c>
      <c r="R256" s="49" t="str">
        <f>DataTable[HLD_Portfolio]&amp;DataTable[HLD_Date]</f>
        <v>SCBSFFPLUS43381</v>
      </c>
    </row>
    <row r="257" spans="1:18" x14ac:dyDescent="0.2">
      <c r="A257" s="49">
        <v>43381</v>
      </c>
      <c r="B257" t="s">
        <v>142</v>
      </c>
      <c r="C257" t="s">
        <v>132</v>
      </c>
      <c r="D257" t="s">
        <v>133</v>
      </c>
      <c r="E257" t="s">
        <v>389</v>
      </c>
      <c r="F257" t="s">
        <v>107</v>
      </c>
      <c r="I257" s="49"/>
      <c r="J257" s="47">
        <v>-99972022</v>
      </c>
      <c r="L257">
        <v>-99972022</v>
      </c>
      <c r="N257">
        <v>0</v>
      </c>
      <c r="O257" t="s">
        <v>42</v>
      </c>
      <c r="P257" t="s">
        <v>23</v>
      </c>
      <c r="Q257" s="49">
        <v>43209</v>
      </c>
      <c r="R257" s="49" t="str">
        <f>DataTable[HLD_Portfolio]&amp;DataTable[HLD_Date]</f>
        <v>SCBSFFPLUS43381</v>
      </c>
    </row>
    <row r="258" spans="1:18" x14ac:dyDescent="0.2">
      <c r="A258" s="49">
        <v>43381</v>
      </c>
      <c r="B258" t="s">
        <v>142</v>
      </c>
      <c r="C258" t="s">
        <v>132</v>
      </c>
      <c r="D258" t="s">
        <v>133</v>
      </c>
      <c r="E258" t="s">
        <v>389</v>
      </c>
      <c r="F258" t="s">
        <v>388</v>
      </c>
      <c r="I258" s="49"/>
      <c r="J258" s="47">
        <v>-996533929.38999999</v>
      </c>
      <c r="L258">
        <v>-996533929.38999999</v>
      </c>
      <c r="N258">
        <v>0</v>
      </c>
      <c r="O258" t="s">
        <v>42</v>
      </c>
      <c r="P258" t="s">
        <v>23</v>
      </c>
      <c r="Q258" s="49">
        <v>43382</v>
      </c>
      <c r="R258" s="49" t="str">
        <f>DataTable[HLD_Portfolio]&amp;DataTable[HLD_Date]</f>
        <v>SCBSFFPLUS43381</v>
      </c>
    </row>
    <row r="259" spans="1:18" x14ac:dyDescent="0.2">
      <c r="A259" s="49">
        <v>43381</v>
      </c>
      <c r="B259" t="s">
        <v>142</v>
      </c>
      <c r="C259" t="s">
        <v>132</v>
      </c>
      <c r="D259" t="s">
        <v>134</v>
      </c>
      <c r="E259" t="s">
        <v>134</v>
      </c>
      <c r="F259" t="s">
        <v>134</v>
      </c>
      <c r="I259" s="49"/>
      <c r="J259" s="47">
        <v>-27589.14</v>
      </c>
      <c r="N259">
        <v>0</v>
      </c>
      <c r="Q259" s="49"/>
      <c r="R259" s="49" t="str">
        <f>DataTable[HLD_Portfolio]&amp;DataTable[HLD_Date]</f>
        <v>SCBSFFPLUS43381</v>
      </c>
    </row>
    <row r="260" spans="1:18" x14ac:dyDescent="0.2">
      <c r="A260" s="49">
        <v>43381</v>
      </c>
      <c r="B260" t="s">
        <v>142</v>
      </c>
      <c r="C260" t="s">
        <v>132</v>
      </c>
      <c r="D260" t="s">
        <v>134</v>
      </c>
      <c r="E260" t="s">
        <v>134</v>
      </c>
      <c r="F260" t="s">
        <v>134</v>
      </c>
      <c r="I260" s="49"/>
      <c r="J260" s="47">
        <v>-255000</v>
      </c>
      <c r="N260">
        <v>0</v>
      </c>
      <c r="Q260" s="49"/>
      <c r="R260" s="49" t="str">
        <f>DataTable[HLD_Portfolio]&amp;DataTable[HLD_Date]</f>
        <v>SCBSFFPLUS43381</v>
      </c>
    </row>
    <row r="261" spans="1:18" x14ac:dyDescent="0.2">
      <c r="A261" s="49">
        <v>43381</v>
      </c>
      <c r="B261" t="s">
        <v>142</v>
      </c>
      <c r="C261" t="s">
        <v>132</v>
      </c>
      <c r="D261" t="s">
        <v>134</v>
      </c>
      <c r="E261" t="s">
        <v>134</v>
      </c>
      <c r="F261" t="s">
        <v>134</v>
      </c>
      <c r="I261" s="49"/>
      <c r="J261" s="47">
        <v>-10000</v>
      </c>
      <c r="N261">
        <v>0</v>
      </c>
      <c r="Q261" s="49"/>
      <c r="R261" s="49" t="str">
        <f>DataTable[HLD_Portfolio]&amp;DataTable[HLD_Date]</f>
        <v>SCBSFFPLUS43381</v>
      </c>
    </row>
    <row r="262" spans="1:18" x14ac:dyDescent="0.2">
      <c r="A262" s="49">
        <v>43381</v>
      </c>
      <c r="B262" t="s">
        <v>142</v>
      </c>
      <c r="C262" t="s">
        <v>132</v>
      </c>
      <c r="D262" t="s">
        <v>135</v>
      </c>
      <c r="I262" s="49"/>
      <c r="J262" s="47">
        <v>-2083810.55</v>
      </c>
      <c r="K262">
        <v>0</v>
      </c>
      <c r="N262">
        <v>0</v>
      </c>
      <c r="Q262" s="49"/>
      <c r="R262" s="49" t="str">
        <f>DataTable[HLD_Portfolio]&amp;DataTable[HLD_Date]</f>
        <v>SCBSFFPLUS43381</v>
      </c>
    </row>
    <row r="263" spans="1:18" x14ac:dyDescent="0.2">
      <c r="A263" s="49">
        <v>43381</v>
      </c>
      <c r="B263" t="s">
        <v>142</v>
      </c>
      <c r="C263" t="s">
        <v>132</v>
      </c>
      <c r="D263" t="s">
        <v>136</v>
      </c>
      <c r="E263" t="s">
        <v>136</v>
      </c>
      <c r="F263" t="s">
        <v>136</v>
      </c>
      <c r="I263" s="49"/>
      <c r="J263" s="47">
        <v>-4182.17</v>
      </c>
      <c r="N263">
        <v>0</v>
      </c>
      <c r="Q263" s="49"/>
      <c r="R263" s="49" t="str">
        <f>DataTable[HLD_Portfolio]&amp;DataTable[HLD_Date]</f>
        <v>SCBSFFPLUS43381</v>
      </c>
    </row>
    <row r="264" spans="1:18" x14ac:dyDescent="0.2">
      <c r="A264" s="49">
        <v>43381</v>
      </c>
      <c r="B264" t="s">
        <v>142</v>
      </c>
      <c r="C264" t="s">
        <v>132</v>
      </c>
      <c r="D264" t="s">
        <v>136</v>
      </c>
      <c r="E264" t="s">
        <v>136</v>
      </c>
      <c r="F264" t="s">
        <v>136</v>
      </c>
      <c r="I264" s="49"/>
      <c r="J264" s="47">
        <v>-1133.2</v>
      </c>
      <c r="N264">
        <v>0</v>
      </c>
      <c r="Q264" s="49"/>
      <c r="R264" s="49" t="str">
        <f>DataTable[HLD_Portfolio]&amp;DataTable[HLD_Date]</f>
        <v>SCBSFFPLUS43381</v>
      </c>
    </row>
    <row r="265" spans="1:18" x14ac:dyDescent="0.2">
      <c r="A265" s="49">
        <v>43381</v>
      </c>
      <c r="B265" t="s">
        <v>142</v>
      </c>
      <c r="C265" t="s">
        <v>132</v>
      </c>
      <c r="D265" t="s">
        <v>137</v>
      </c>
      <c r="E265" t="s">
        <v>137</v>
      </c>
      <c r="I265" s="49"/>
      <c r="J265" s="47">
        <v>-555088.22</v>
      </c>
      <c r="L265">
        <v>-555088.22</v>
      </c>
      <c r="N265">
        <v>0</v>
      </c>
      <c r="Q265" s="49"/>
      <c r="R265" s="49" t="str">
        <f>DataTable[HLD_Portfolio]&amp;DataTable[HLD_Date]</f>
        <v>SCBSFFPLUS43381</v>
      </c>
    </row>
    <row r="266" spans="1:18" x14ac:dyDescent="0.2">
      <c r="A266" s="49">
        <v>43381</v>
      </c>
      <c r="B266" t="s">
        <v>142</v>
      </c>
      <c r="C266" t="s">
        <v>132</v>
      </c>
      <c r="D266" t="s">
        <v>138</v>
      </c>
      <c r="E266" t="s">
        <v>138</v>
      </c>
      <c r="I266" s="49"/>
      <c r="J266" s="47">
        <v>-11632983.300000001</v>
      </c>
      <c r="L266">
        <v>-11632983.300000001</v>
      </c>
      <c r="N266">
        <v>0</v>
      </c>
      <c r="Q266" s="49"/>
      <c r="R266" s="49" t="str">
        <f>DataTable[HLD_Portfolio]&amp;DataTable[HLD_Date]</f>
        <v>SCBSFFPLUS43381</v>
      </c>
    </row>
    <row r="267" spans="1:18" x14ac:dyDescent="0.2">
      <c r="A267" s="49">
        <v>43381</v>
      </c>
      <c r="B267" t="s">
        <v>142</v>
      </c>
      <c r="C267" t="s">
        <v>140</v>
      </c>
      <c r="D267" t="s">
        <v>137</v>
      </c>
      <c r="E267" t="s">
        <v>137</v>
      </c>
      <c r="I267" s="49"/>
      <c r="J267" s="47">
        <v>-332250.01</v>
      </c>
      <c r="L267">
        <v>-332250.01</v>
      </c>
      <c r="N267">
        <v>0</v>
      </c>
      <c r="Q267" s="49"/>
      <c r="R267" s="49" t="str">
        <f>DataTable[HLD_Portfolio]&amp;DataTable[HLD_Date]</f>
        <v>SCBSFFPLUS43381</v>
      </c>
    </row>
    <row r="268" spans="1:18" x14ac:dyDescent="0.2">
      <c r="A268" s="49">
        <v>43381</v>
      </c>
      <c r="B268" t="s">
        <v>142</v>
      </c>
      <c r="C268" t="s">
        <v>140</v>
      </c>
      <c r="D268" t="s">
        <v>138</v>
      </c>
      <c r="E268" t="s">
        <v>138</v>
      </c>
      <c r="I268" s="49"/>
      <c r="J268" s="47">
        <v>-6961022.3700000001</v>
      </c>
      <c r="L268">
        <v>-6961022.3700000001</v>
      </c>
      <c r="N268">
        <v>0</v>
      </c>
      <c r="Q268" s="49"/>
      <c r="R268" s="49" t="str">
        <f>DataTable[HLD_Portfolio]&amp;DataTable[HLD_Date]</f>
        <v>SCBSFFPLUS43381</v>
      </c>
    </row>
    <row r="269" spans="1:18" x14ac:dyDescent="0.2">
      <c r="A269" s="49">
        <v>43381</v>
      </c>
      <c r="B269" t="s">
        <v>143</v>
      </c>
      <c r="C269" t="s">
        <v>18</v>
      </c>
      <c r="D269" t="s">
        <v>19</v>
      </c>
      <c r="F269" t="s">
        <v>20</v>
      </c>
      <c r="G269" t="s">
        <v>149</v>
      </c>
      <c r="I269" s="49"/>
      <c r="J269" s="47">
        <v>1876711.2</v>
      </c>
      <c r="K269">
        <v>5969.8</v>
      </c>
      <c r="L269">
        <v>1876711.2</v>
      </c>
      <c r="M269">
        <v>0</v>
      </c>
      <c r="N269">
        <v>0</v>
      </c>
      <c r="O269" t="s">
        <v>22</v>
      </c>
      <c r="P269" t="s">
        <v>23</v>
      </c>
      <c r="Q269" s="49">
        <v>2</v>
      </c>
      <c r="R269" s="49" t="str">
        <f>DataTable[HLD_Portfolio]&amp;DataTable[HLD_Date]</f>
        <v>SCBTMF43381</v>
      </c>
    </row>
    <row r="270" spans="1:18" x14ac:dyDescent="0.2">
      <c r="A270" s="49">
        <v>43381</v>
      </c>
      <c r="B270" t="s">
        <v>143</v>
      </c>
      <c r="C270" t="s">
        <v>18</v>
      </c>
      <c r="D270" t="s">
        <v>38</v>
      </c>
      <c r="F270" t="s">
        <v>311</v>
      </c>
      <c r="G270" t="s">
        <v>58</v>
      </c>
      <c r="H270" t="s">
        <v>59</v>
      </c>
      <c r="I270" s="49">
        <v>43564</v>
      </c>
      <c r="J270" s="47">
        <v>60000000</v>
      </c>
      <c r="K270">
        <v>451232.88</v>
      </c>
      <c r="L270">
        <v>60000000</v>
      </c>
      <c r="M270">
        <v>0.49765500000000001</v>
      </c>
      <c r="N270">
        <v>1.5</v>
      </c>
      <c r="O270" t="s">
        <v>42</v>
      </c>
      <c r="P270" t="s">
        <v>23</v>
      </c>
      <c r="Q270" s="49">
        <v>43199</v>
      </c>
      <c r="R270" s="49" t="str">
        <f>DataTable[HLD_Portfolio]&amp;DataTable[HLD_Date]</f>
        <v>SCBTMF43381</v>
      </c>
    </row>
    <row r="271" spans="1:18" x14ac:dyDescent="0.2">
      <c r="A271" s="49">
        <v>43381</v>
      </c>
      <c r="B271" t="s">
        <v>143</v>
      </c>
      <c r="C271" t="s">
        <v>18</v>
      </c>
      <c r="D271" t="s">
        <v>38</v>
      </c>
      <c r="F271" t="s">
        <v>61</v>
      </c>
      <c r="G271" t="s">
        <v>58</v>
      </c>
      <c r="H271" t="s">
        <v>59</v>
      </c>
      <c r="I271" s="49">
        <v>43686</v>
      </c>
      <c r="J271" s="47">
        <v>20000000</v>
      </c>
      <c r="K271">
        <v>56821.919999999998</v>
      </c>
      <c r="L271">
        <v>20000000</v>
      </c>
      <c r="M271">
        <v>0.82394500000000004</v>
      </c>
      <c r="N271">
        <v>1.7</v>
      </c>
      <c r="O271" t="s">
        <v>42</v>
      </c>
      <c r="P271" t="s">
        <v>23</v>
      </c>
      <c r="Q271" s="49">
        <v>43321</v>
      </c>
      <c r="R271" s="49" t="str">
        <f>DataTable[HLD_Portfolio]&amp;DataTable[HLD_Date]</f>
        <v>SCBTMF43381</v>
      </c>
    </row>
    <row r="272" spans="1:18" x14ac:dyDescent="0.2">
      <c r="A272" s="49">
        <v>43381</v>
      </c>
      <c r="B272" t="s">
        <v>143</v>
      </c>
      <c r="C272" t="s">
        <v>18</v>
      </c>
      <c r="D272" t="s">
        <v>38</v>
      </c>
      <c r="F272" t="s">
        <v>62</v>
      </c>
      <c r="G272" t="s">
        <v>58</v>
      </c>
      <c r="H272" t="s">
        <v>59</v>
      </c>
      <c r="I272" s="49">
        <v>43448</v>
      </c>
      <c r="J272" s="47">
        <v>50000000</v>
      </c>
      <c r="K272">
        <v>655342.47</v>
      </c>
      <c r="L272">
        <v>50000000</v>
      </c>
      <c r="M272">
        <v>0.18302399999999999</v>
      </c>
      <c r="N272">
        <v>1.6</v>
      </c>
      <c r="O272" t="s">
        <v>42</v>
      </c>
      <c r="P272" t="s">
        <v>23</v>
      </c>
      <c r="Q272" s="49">
        <v>43083</v>
      </c>
      <c r="R272" s="49" t="str">
        <f>DataTable[HLD_Portfolio]&amp;DataTable[HLD_Date]</f>
        <v>SCBTMF43381</v>
      </c>
    </row>
    <row r="273" spans="1:18" x14ac:dyDescent="0.2">
      <c r="A273" s="49">
        <v>43381</v>
      </c>
      <c r="B273" t="s">
        <v>143</v>
      </c>
      <c r="C273" t="s">
        <v>18</v>
      </c>
      <c r="D273" t="s">
        <v>38</v>
      </c>
      <c r="F273" t="s">
        <v>65</v>
      </c>
      <c r="G273" t="s">
        <v>58</v>
      </c>
      <c r="H273" t="s">
        <v>59</v>
      </c>
      <c r="I273" s="49">
        <v>43483</v>
      </c>
      <c r="J273" s="47">
        <v>50000000</v>
      </c>
      <c r="K273">
        <v>578630.14</v>
      </c>
      <c r="L273">
        <v>50000000</v>
      </c>
      <c r="M273">
        <v>0.27820800000000001</v>
      </c>
      <c r="N273">
        <v>1.6</v>
      </c>
      <c r="O273" t="s">
        <v>42</v>
      </c>
      <c r="P273" t="s">
        <v>23</v>
      </c>
      <c r="Q273" s="49">
        <v>43118</v>
      </c>
      <c r="R273" s="49" t="str">
        <f>DataTable[HLD_Portfolio]&amp;DataTable[HLD_Date]</f>
        <v>SCBTMF43381</v>
      </c>
    </row>
    <row r="274" spans="1:18" x14ac:dyDescent="0.2">
      <c r="A274" s="49">
        <v>43381</v>
      </c>
      <c r="B274" t="s">
        <v>143</v>
      </c>
      <c r="C274" t="s">
        <v>18</v>
      </c>
      <c r="D274" t="s">
        <v>38</v>
      </c>
      <c r="F274" t="s">
        <v>180</v>
      </c>
      <c r="G274" t="s">
        <v>58</v>
      </c>
      <c r="H274" t="s">
        <v>59</v>
      </c>
      <c r="I274" s="49">
        <v>43672</v>
      </c>
      <c r="J274" s="47">
        <v>30000000</v>
      </c>
      <c r="K274">
        <v>104794.52</v>
      </c>
      <c r="L274">
        <v>30000000</v>
      </c>
      <c r="M274">
        <v>0.78663499999999997</v>
      </c>
      <c r="N274">
        <v>1.7</v>
      </c>
      <c r="O274" t="s">
        <v>42</v>
      </c>
      <c r="P274" t="s">
        <v>23</v>
      </c>
      <c r="Q274" s="49">
        <v>43307</v>
      </c>
      <c r="R274" s="49" t="str">
        <f>DataTable[HLD_Portfolio]&amp;DataTable[HLD_Date]</f>
        <v>SCBTMF43381</v>
      </c>
    </row>
    <row r="275" spans="1:18" x14ac:dyDescent="0.2">
      <c r="A275" s="49">
        <v>43381</v>
      </c>
      <c r="B275" t="s">
        <v>143</v>
      </c>
      <c r="C275" t="s">
        <v>18</v>
      </c>
      <c r="D275" t="s">
        <v>38</v>
      </c>
      <c r="F275" t="s">
        <v>312</v>
      </c>
      <c r="G275" t="s">
        <v>75</v>
      </c>
      <c r="H275" t="s">
        <v>59</v>
      </c>
      <c r="I275" s="49">
        <v>44196</v>
      </c>
      <c r="J275" s="47">
        <v>3275021.05</v>
      </c>
      <c r="K275">
        <v>46051.42</v>
      </c>
      <c r="L275">
        <v>3275021.05</v>
      </c>
      <c r="M275">
        <v>0</v>
      </c>
      <c r="N275">
        <v>0</v>
      </c>
      <c r="O275" t="s">
        <v>42</v>
      </c>
      <c r="P275" t="s">
        <v>23</v>
      </c>
      <c r="Q275" s="49">
        <v>40212</v>
      </c>
      <c r="R275" s="49" t="str">
        <f>DataTable[HLD_Portfolio]&amp;DataTable[HLD_Date]</f>
        <v>SCBTMF43381</v>
      </c>
    </row>
    <row r="276" spans="1:18" x14ac:dyDescent="0.2">
      <c r="A276" s="49">
        <v>43381</v>
      </c>
      <c r="B276" t="s">
        <v>143</v>
      </c>
      <c r="C276" t="s">
        <v>18</v>
      </c>
      <c r="D276" t="s">
        <v>89</v>
      </c>
      <c r="F276" t="s">
        <v>90</v>
      </c>
      <c r="G276" t="s">
        <v>91</v>
      </c>
      <c r="I276" s="49">
        <v>43440</v>
      </c>
      <c r="J276" s="47">
        <v>149690776.5</v>
      </c>
      <c r="L276">
        <v>149680665</v>
      </c>
      <c r="M276">
        <v>0.158583</v>
      </c>
      <c r="N276">
        <v>1.3426</v>
      </c>
      <c r="O276" t="s">
        <v>42</v>
      </c>
      <c r="P276" t="s">
        <v>23</v>
      </c>
      <c r="Q276" s="49">
        <v>43349</v>
      </c>
      <c r="R276" s="49" t="str">
        <f>DataTable[HLD_Portfolio]&amp;DataTable[HLD_Date]</f>
        <v>SCBTMF43381</v>
      </c>
    </row>
    <row r="277" spans="1:18" x14ac:dyDescent="0.2">
      <c r="A277" s="49">
        <v>43381</v>
      </c>
      <c r="B277" t="s">
        <v>143</v>
      </c>
      <c r="C277" t="s">
        <v>18</v>
      </c>
      <c r="D277" t="s">
        <v>89</v>
      </c>
      <c r="F277" t="s">
        <v>92</v>
      </c>
      <c r="G277" t="s">
        <v>91</v>
      </c>
      <c r="I277" s="49">
        <v>43447</v>
      </c>
      <c r="J277" s="47">
        <v>119754217.2</v>
      </c>
      <c r="L277">
        <v>119751769.2</v>
      </c>
      <c r="M277">
        <v>0.177673</v>
      </c>
      <c r="N277">
        <v>1.1639999999999999</v>
      </c>
      <c r="O277" t="s">
        <v>42</v>
      </c>
      <c r="P277" t="s">
        <v>23</v>
      </c>
      <c r="Q277" s="49">
        <v>43356</v>
      </c>
      <c r="R277" s="49" t="str">
        <f>DataTable[HLD_Portfolio]&amp;DataTable[HLD_Date]</f>
        <v>SCBTMF43381</v>
      </c>
    </row>
    <row r="278" spans="1:18" x14ac:dyDescent="0.2">
      <c r="A278" s="49">
        <v>43381</v>
      </c>
      <c r="B278" t="s">
        <v>143</v>
      </c>
      <c r="C278" t="s">
        <v>18</v>
      </c>
      <c r="D278" t="s">
        <v>89</v>
      </c>
      <c r="F278" t="s">
        <v>93</v>
      </c>
      <c r="G278" t="s">
        <v>91</v>
      </c>
      <c r="I278" s="49">
        <v>43454</v>
      </c>
      <c r="J278" s="47">
        <v>200503630.5</v>
      </c>
      <c r="L278">
        <v>200455738.22999999</v>
      </c>
      <c r="M278">
        <v>0.19673199999999999</v>
      </c>
      <c r="N278">
        <v>1.3764179999999999</v>
      </c>
      <c r="O278" t="s">
        <v>42</v>
      </c>
      <c r="P278" t="s">
        <v>23</v>
      </c>
      <c r="Q278" s="49">
        <v>43363</v>
      </c>
      <c r="R278" s="49" t="str">
        <f>DataTable[HLD_Portfolio]&amp;DataTable[HLD_Date]</f>
        <v>SCBTMF43381</v>
      </c>
    </row>
    <row r="279" spans="1:18" x14ac:dyDescent="0.2">
      <c r="A279" s="49">
        <v>43381</v>
      </c>
      <c r="B279" t="s">
        <v>143</v>
      </c>
      <c r="C279" t="s">
        <v>18</v>
      </c>
      <c r="D279" t="s">
        <v>89</v>
      </c>
      <c r="F279" t="s">
        <v>211</v>
      </c>
      <c r="G279" t="s">
        <v>91</v>
      </c>
      <c r="I279" s="49">
        <v>43461</v>
      </c>
      <c r="J279" s="47">
        <v>99702205</v>
      </c>
      <c r="L279">
        <v>99677683</v>
      </c>
      <c r="M279">
        <v>0.21576100000000001</v>
      </c>
      <c r="N279">
        <v>1.494</v>
      </c>
      <c r="O279" t="s">
        <v>42</v>
      </c>
      <c r="P279" t="s">
        <v>23</v>
      </c>
      <c r="Q279" s="49">
        <v>43370</v>
      </c>
      <c r="R279" s="49" t="str">
        <f>DataTable[HLD_Portfolio]&amp;DataTable[HLD_Date]</f>
        <v>SCBTMF43381</v>
      </c>
    </row>
    <row r="280" spans="1:18" x14ac:dyDescent="0.2">
      <c r="A280" s="49">
        <v>43381</v>
      </c>
      <c r="B280" t="s">
        <v>143</v>
      </c>
      <c r="C280" t="s">
        <v>18</v>
      </c>
      <c r="D280" t="s">
        <v>89</v>
      </c>
      <c r="F280" t="s">
        <v>212</v>
      </c>
      <c r="G280" t="s">
        <v>91</v>
      </c>
      <c r="I280" s="49">
        <v>43405</v>
      </c>
      <c r="J280" s="47">
        <v>49964580</v>
      </c>
      <c r="L280">
        <v>49964580</v>
      </c>
      <c r="M280">
        <v>6.2966999999999995E-2</v>
      </c>
      <c r="N280">
        <v>1.125</v>
      </c>
      <c r="O280" t="s">
        <v>42</v>
      </c>
      <c r="P280" t="s">
        <v>23</v>
      </c>
      <c r="Q280" s="49">
        <v>43223</v>
      </c>
      <c r="R280" s="49" t="str">
        <f>DataTable[HLD_Portfolio]&amp;DataTable[HLD_Date]</f>
        <v>SCBTMF43381</v>
      </c>
    </row>
    <row r="281" spans="1:18" x14ac:dyDescent="0.2">
      <c r="A281" s="49">
        <v>43381</v>
      </c>
      <c r="B281" t="s">
        <v>143</v>
      </c>
      <c r="C281" t="s">
        <v>18</v>
      </c>
      <c r="D281" t="s">
        <v>89</v>
      </c>
      <c r="F281" t="s">
        <v>94</v>
      </c>
      <c r="G281" t="s">
        <v>91</v>
      </c>
      <c r="I281" s="49">
        <v>43405</v>
      </c>
      <c r="J281" s="47">
        <v>194841617.09999999</v>
      </c>
      <c r="L281">
        <v>194840624.55000001</v>
      </c>
      <c r="M281">
        <v>6.2966999999999995E-2</v>
      </c>
      <c r="N281">
        <v>1.298095</v>
      </c>
      <c r="O281" t="s">
        <v>42</v>
      </c>
      <c r="P281" t="s">
        <v>23</v>
      </c>
      <c r="Q281" s="49">
        <v>43314</v>
      </c>
      <c r="R281" s="49" t="str">
        <f>DataTable[HLD_Portfolio]&amp;DataTable[HLD_Date]</f>
        <v>SCBTMF43381</v>
      </c>
    </row>
    <row r="282" spans="1:18" x14ac:dyDescent="0.2">
      <c r="A282" s="49">
        <v>43381</v>
      </c>
      <c r="B282" t="s">
        <v>143</v>
      </c>
      <c r="C282" t="s">
        <v>18</v>
      </c>
      <c r="D282" t="s">
        <v>89</v>
      </c>
      <c r="F282" t="s">
        <v>95</v>
      </c>
      <c r="G282" t="s">
        <v>91</v>
      </c>
      <c r="I282" s="49">
        <v>43412</v>
      </c>
      <c r="J282" s="47">
        <v>19979227</v>
      </c>
      <c r="L282">
        <v>19979227</v>
      </c>
      <c r="M282">
        <v>8.2113000000000005E-2</v>
      </c>
      <c r="N282">
        <v>1.2649999999999999</v>
      </c>
      <c r="O282" t="s">
        <v>42</v>
      </c>
      <c r="P282" t="s">
        <v>23</v>
      </c>
      <c r="Q282" s="49">
        <v>43230</v>
      </c>
      <c r="R282" s="49" t="str">
        <f>DataTable[HLD_Portfolio]&amp;DataTable[HLD_Date]</f>
        <v>SCBTMF43381</v>
      </c>
    </row>
    <row r="283" spans="1:18" x14ac:dyDescent="0.2">
      <c r="A283" s="49">
        <v>43381</v>
      </c>
      <c r="B283" t="s">
        <v>143</v>
      </c>
      <c r="C283" t="s">
        <v>18</v>
      </c>
      <c r="D283" t="s">
        <v>89</v>
      </c>
      <c r="F283" t="s">
        <v>96</v>
      </c>
      <c r="G283" t="s">
        <v>91</v>
      </c>
      <c r="I283" s="49">
        <v>43412</v>
      </c>
      <c r="J283" s="47">
        <v>239752528.80000001</v>
      </c>
      <c r="L283">
        <v>239751122.40000001</v>
      </c>
      <c r="M283">
        <v>8.2112000000000004E-2</v>
      </c>
      <c r="N283">
        <v>1.2629790000000001</v>
      </c>
      <c r="O283" t="s">
        <v>42</v>
      </c>
      <c r="P283" t="s">
        <v>23</v>
      </c>
      <c r="Q283" s="49">
        <v>43321</v>
      </c>
      <c r="R283" s="49" t="str">
        <f>DataTable[HLD_Portfolio]&amp;DataTable[HLD_Date]</f>
        <v>SCBTMF43381</v>
      </c>
    </row>
    <row r="284" spans="1:18" x14ac:dyDescent="0.2">
      <c r="A284" s="49">
        <v>43381</v>
      </c>
      <c r="B284" t="s">
        <v>143</v>
      </c>
      <c r="C284" t="s">
        <v>18</v>
      </c>
      <c r="D284" t="s">
        <v>89</v>
      </c>
      <c r="F284" t="s">
        <v>98</v>
      </c>
      <c r="G284" t="s">
        <v>91</v>
      </c>
      <c r="I284" s="49">
        <v>43419</v>
      </c>
      <c r="J284" s="47">
        <v>159795494.40000001</v>
      </c>
      <c r="L284">
        <v>159795315.19999999</v>
      </c>
      <c r="M284">
        <v>0.10125000000000001</v>
      </c>
      <c r="N284">
        <v>1.2636099999999999</v>
      </c>
      <c r="O284" t="s">
        <v>42</v>
      </c>
      <c r="P284" t="s">
        <v>23</v>
      </c>
      <c r="Q284" s="49">
        <v>43328</v>
      </c>
      <c r="R284" s="49" t="str">
        <f>DataTable[HLD_Portfolio]&amp;DataTable[HLD_Date]</f>
        <v>SCBTMF43381</v>
      </c>
    </row>
    <row r="285" spans="1:18" x14ac:dyDescent="0.2">
      <c r="A285" s="49">
        <v>43381</v>
      </c>
      <c r="B285" t="s">
        <v>143</v>
      </c>
      <c r="C285" t="s">
        <v>18</v>
      </c>
      <c r="D285" t="s">
        <v>89</v>
      </c>
      <c r="F285" t="s">
        <v>100</v>
      </c>
      <c r="G285" t="s">
        <v>91</v>
      </c>
      <c r="I285" s="49">
        <v>43426</v>
      </c>
      <c r="J285" s="47">
        <v>447323000.31999999</v>
      </c>
      <c r="L285">
        <v>447316423.68000001</v>
      </c>
      <c r="M285">
        <v>0.120375</v>
      </c>
      <c r="N285">
        <v>1.267692</v>
      </c>
      <c r="O285" t="s">
        <v>42</v>
      </c>
      <c r="P285" t="s">
        <v>23</v>
      </c>
      <c r="Q285" s="49">
        <v>43335</v>
      </c>
      <c r="R285" s="49" t="str">
        <f>DataTable[HLD_Portfolio]&amp;DataTable[HLD_Date]</f>
        <v>SCBTMF43381</v>
      </c>
    </row>
    <row r="286" spans="1:18" x14ac:dyDescent="0.2">
      <c r="A286" s="49">
        <v>43381</v>
      </c>
      <c r="B286" t="s">
        <v>143</v>
      </c>
      <c r="C286" t="s">
        <v>18</v>
      </c>
      <c r="D286" t="s">
        <v>89</v>
      </c>
      <c r="F286" t="s">
        <v>101</v>
      </c>
      <c r="G286" t="s">
        <v>91</v>
      </c>
      <c r="I286" s="49">
        <v>43433</v>
      </c>
      <c r="J286" s="47">
        <v>69893551</v>
      </c>
      <c r="L286">
        <v>69893551</v>
      </c>
      <c r="M286">
        <v>0.13947999999999999</v>
      </c>
      <c r="N286">
        <v>1.0900000000000001</v>
      </c>
      <c r="O286" t="s">
        <v>42</v>
      </c>
      <c r="P286" t="s">
        <v>23</v>
      </c>
      <c r="Q286" s="49">
        <v>43251</v>
      </c>
      <c r="R286" s="49" t="str">
        <f>DataTable[HLD_Portfolio]&amp;DataTable[HLD_Date]</f>
        <v>SCBTMF43381</v>
      </c>
    </row>
    <row r="287" spans="1:18" x14ac:dyDescent="0.2">
      <c r="A287" s="49">
        <v>43381</v>
      </c>
      <c r="B287" t="s">
        <v>143</v>
      </c>
      <c r="C287" t="s">
        <v>18</v>
      </c>
      <c r="D287" t="s">
        <v>89</v>
      </c>
      <c r="F287" t="s">
        <v>102</v>
      </c>
      <c r="G287" t="s">
        <v>91</v>
      </c>
      <c r="I287" s="49">
        <v>43433</v>
      </c>
      <c r="J287" s="47">
        <v>199668004</v>
      </c>
      <c r="L287">
        <v>199653212</v>
      </c>
      <c r="M287">
        <v>0.13949600000000001</v>
      </c>
      <c r="N287">
        <v>1.2431099999999999</v>
      </c>
      <c r="O287" t="s">
        <v>42</v>
      </c>
      <c r="P287" t="s">
        <v>23</v>
      </c>
      <c r="Q287" s="49">
        <v>43342</v>
      </c>
      <c r="R287" s="49" t="str">
        <f>DataTable[HLD_Portfolio]&amp;DataTable[HLD_Date]</f>
        <v>SCBTMF43381</v>
      </c>
    </row>
    <row r="288" spans="1:18" x14ac:dyDescent="0.2">
      <c r="A288" s="49">
        <v>43381</v>
      </c>
      <c r="B288" t="s">
        <v>143</v>
      </c>
      <c r="C288" t="s">
        <v>18</v>
      </c>
      <c r="D288" t="s">
        <v>89</v>
      </c>
      <c r="F288" t="s">
        <v>104</v>
      </c>
      <c r="G288" t="s">
        <v>91</v>
      </c>
      <c r="I288" s="49">
        <v>43384</v>
      </c>
      <c r="J288" s="47">
        <v>139991238.80000001</v>
      </c>
      <c r="L288">
        <v>139991238.80000001</v>
      </c>
      <c r="M288">
        <v>5.4790000000000004E-3</v>
      </c>
      <c r="N288">
        <v>1.1421429999999999</v>
      </c>
      <c r="O288" t="s">
        <v>42</v>
      </c>
      <c r="P288" t="s">
        <v>23</v>
      </c>
      <c r="Q288" s="49">
        <v>43202</v>
      </c>
      <c r="R288" s="49" t="str">
        <f>DataTable[HLD_Portfolio]&amp;DataTable[HLD_Date]</f>
        <v>SCBTMF43381</v>
      </c>
    </row>
    <row r="289" spans="1:18" x14ac:dyDescent="0.2">
      <c r="A289" s="49">
        <v>43381</v>
      </c>
      <c r="B289" t="s">
        <v>143</v>
      </c>
      <c r="C289" t="s">
        <v>18</v>
      </c>
      <c r="D289" t="s">
        <v>89</v>
      </c>
      <c r="F289" t="s">
        <v>105</v>
      </c>
      <c r="G289" t="s">
        <v>91</v>
      </c>
      <c r="I289" s="49">
        <v>43384</v>
      </c>
      <c r="J289" s="47">
        <v>97993277.200000003</v>
      </c>
      <c r="L289">
        <v>97993276.219999999</v>
      </c>
      <c r="M289">
        <v>5.4790000000000004E-3</v>
      </c>
      <c r="N289">
        <v>1.2522960000000001</v>
      </c>
      <c r="O289" t="s">
        <v>42</v>
      </c>
      <c r="P289" t="s">
        <v>23</v>
      </c>
      <c r="Q289" s="49">
        <v>43293</v>
      </c>
      <c r="R289" s="49" t="str">
        <f>DataTable[HLD_Portfolio]&amp;DataTable[HLD_Date]</f>
        <v>SCBTMF43381</v>
      </c>
    </row>
    <row r="290" spans="1:18" x14ac:dyDescent="0.2">
      <c r="A290" s="49">
        <v>43381</v>
      </c>
      <c r="B290" t="s">
        <v>143</v>
      </c>
      <c r="C290" t="s">
        <v>18</v>
      </c>
      <c r="D290" t="s">
        <v>89</v>
      </c>
      <c r="F290" t="s">
        <v>106</v>
      </c>
      <c r="G290" t="s">
        <v>91</v>
      </c>
      <c r="I290" s="49">
        <v>43389</v>
      </c>
      <c r="J290" s="47">
        <v>579876222.20000005</v>
      </c>
      <c r="L290">
        <v>579876222.20000005</v>
      </c>
      <c r="M290">
        <v>1.9174E-2</v>
      </c>
      <c r="N290">
        <v>1.11304</v>
      </c>
      <c r="O290" t="s">
        <v>42</v>
      </c>
      <c r="P290" t="s">
        <v>23</v>
      </c>
      <c r="Q290" s="49">
        <v>43375</v>
      </c>
      <c r="R290" s="49" t="str">
        <f>DataTable[HLD_Portfolio]&amp;DataTable[HLD_Date]</f>
        <v>SCBTMF43381</v>
      </c>
    </row>
    <row r="291" spans="1:18" x14ac:dyDescent="0.2">
      <c r="A291" s="49">
        <v>43381</v>
      </c>
      <c r="B291" t="s">
        <v>143</v>
      </c>
      <c r="C291" t="s">
        <v>18</v>
      </c>
      <c r="D291" t="s">
        <v>89</v>
      </c>
      <c r="F291" t="s">
        <v>107</v>
      </c>
      <c r="G291" t="s">
        <v>91</v>
      </c>
      <c r="I291" s="49">
        <v>43391</v>
      </c>
      <c r="J291" s="47">
        <v>271921503.51999998</v>
      </c>
      <c r="L291">
        <v>271921503.51999998</v>
      </c>
      <c r="M291">
        <v>2.4650999999999999E-2</v>
      </c>
      <c r="N291">
        <v>1.1707350000000001</v>
      </c>
      <c r="O291" t="s">
        <v>42</v>
      </c>
      <c r="P291" t="s">
        <v>23</v>
      </c>
      <c r="Q291" s="49">
        <v>43209</v>
      </c>
      <c r="R291" s="49" t="str">
        <f>DataTable[HLD_Portfolio]&amp;DataTable[HLD_Date]</f>
        <v>SCBTMF43381</v>
      </c>
    </row>
    <row r="292" spans="1:18" x14ac:dyDescent="0.2">
      <c r="A292" s="49">
        <v>43381</v>
      </c>
      <c r="B292" t="s">
        <v>143</v>
      </c>
      <c r="C292" t="s">
        <v>18</v>
      </c>
      <c r="D292" t="s">
        <v>89</v>
      </c>
      <c r="F292" t="s">
        <v>108</v>
      </c>
      <c r="G292" t="s">
        <v>91</v>
      </c>
      <c r="I292" s="49">
        <v>43391</v>
      </c>
      <c r="J292" s="47">
        <v>149950455</v>
      </c>
      <c r="L292">
        <v>149949226.5</v>
      </c>
      <c r="M292">
        <v>2.4650999999999999E-2</v>
      </c>
      <c r="N292">
        <v>1.37321</v>
      </c>
      <c r="O292" t="s">
        <v>42</v>
      </c>
      <c r="P292" t="s">
        <v>23</v>
      </c>
      <c r="Q292" s="49">
        <v>43300</v>
      </c>
      <c r="R292" s="49" t="str">
        <f>DataTable[HLD_Portfolio]&amp;DataTable[HLD_Date]</f>
        <v>SCBTMF43381</v>
      </c>
    </row>
    <row r="293" spans="1:18" x14ac:dyDescent="0.2">
      <c r="A293" s="49">
        <v>43381</v>
      </c>
      <c r="B293" t="s">
        <v>143</v>
      </c>
      <c r="C293" t="s">
        <v>18</v>
      </c>
      <c r="D293" t="s">
        <v>89</v>
      </c>
      <c r="F293" t="s">
        <v>109</v>
      </c>
      <c r="G293" t="s">
        <v>91</v>
      </c>
      <c r="I293" s="49">
        <v>43398</v>
      </c>
      <c r="J293" s="47">
        <v>164911272.90000001</v>
      </c>
      <c r="L293">
        <v>164911272.90000001</v>
      </c>
      <c r="M293">
        <v>4.3813999999999999E-2</v>
      </c>
      <c r="N293">
        <v>1.227368</v>
      </c>
      <c r="O293" t="s">
        <v>42</v>
      </c>
      <c r="P293" t="s">
        <v>23</v>
      </c>
      <c r="Q293" s="49">
        <v>43216</v>
      </c>
      <c r="R293" s="49" t="str">
        <f>DataTable[HLD_Portfolio]&amp;DataTable[HLD_Date]</f>
        <v>SCBTMF43381</v>
      </c>
    </row>
    <row r="294" spans="1:18" x14ac:dyDescent="0.2">
      <c r="A294" s="49">
        <v>43381</v>
      </c>
      <c r="B294" t="s">
        <v>143</v>
      </c>
      <c r="C294" t="s">
        <v>18</v>
      </c>
      <c r="D294" t="s">
        <v>89</v>
      </c>
      <c r="F294" t="s">
        <v>111</v>
      </c>
      <c r="G294" t="s">
        <v>91</v>
      </c>
      <c r="I294" s="49">
        <v>43468</v>
      </c>
      <c r="J294" s="47">
        <v>149482258.5</v>
      </c>
      <c r="L294">
        <v>149475018</v>
      </c>
      <c r="M294">
        <v>0.23480300000000001</v>
      </c>
      <c r="N294">
        <v>1.4906330000000001</v>
      </c>
      <c r="O294" t="s">
        <v>42</v>
      </c>
      <c r="P294" t="s">
        <v>23</v>
      </c>
      <c r="Q294" s="49">
        <v>43377</v>
      </c>
      <c r="R294" s="49" t="str">
        <f>DataTable[HLD_Portfolio]&amp;DataTable[HLD_Date]</f>
        <v>SCBTMF43381</v>
      </c>
    </row>
    <row r="295" spans="1:18" x14ac:dyDescent="0.2">
      <c r="A295" s="49">
        <v>43381</v>
      </c>
      <c r="B295" t="s">
        <v>143</v>
      </c>
      <c r="C295" t="s">
        <v>131</v>
      </c>
      <c r="D295" t="s">
        <v>313</v>
      </c>
      <c r="E295" t="s">
        <v>389</v>
      </c>
      <c r="F295" t="s">
        <v>94</v>
      </c>
      <c r="I295" s="49"/>
      <c r="J295" s="47">
        <v>4996284.95</v>
      </c>
      <c r="L295">
        <v>4996284.95</v>
      </c>
      <c r="N295">
        <v>0</v>
      </c>
      <c r="O295" t="s">
        <v>42</v>
      </c>
      <c r="P295" t="s">
        <v>23</v>
      </c>
      <c r="Q295" s="49">
        <v>43314</v>
      </c>
      <c r="R295" s="49" t="str">
        <f>DataTable[HLD_Portfolio]&amp;DataTable[HLD_Date]</f>
        <v>SCBTMF43381</v>
      </c>
    </row>
    <row r="296" spans="1:18" x14ac:dyDescent="0.2">
      <c r="A296" s="49">
        <v>43381</v>
      </c>
      <c r="B296" t="s">
        <v>143</v>
      </c>
      <c r="C296" t="s">
        <v>131</v>
      </c>
      <c r="D296" t="s">
        <v>313</v>
      </c>
      <c r="E296" t="s">
        <v>389</v>
      </c>
      <c r="F296" t="s">
        <v>98</v>
      </c>
      <c r="I296" s="49"/>
      <c r="J296" s="47">
        <v>39952514</v>
      </c>
      <c r="L296">
        <v>39952514</v>
      </c>
      <c r="N296">
        <v>0</v>
      </c>
      <c r="O296" t="s">
        <v>42</v>
      </c>
      <c r="P296" t="s">
        <v>23</v>
      </c>
      <c r="Q296" s="49">
        <v>43328</v>
      </c>
      <c r="R296" s="49" t="str">
        <f>DataTable[HLD_Portfolio]&amp;DataTable[HLD_Date]</f>
        <v>SCBTMF43381</v>
      </c>
    </row>
    <row r="297" spans="1:18" x14ac:dyDescent="0.2">
      <c r="A297" s="49">
        <v>43381</v>
      </c>
      <c r="B297" t="s">
        <v>143</v>
      </c>
      <c r="C297" t="s">
        <v>132</v>
      </c>
      <c r="D297" t="s">
        <v>134</v>
      </c>
      <c r="E297" t="s">
        <v>134</v>
      </c>
      <c r="F297" t="s">
        <v>134</v>
      </c>
      <c r="I297" s="49"/>
      <c r="J297" s="47">
        <v>-21739.83</v>
      </c>
      <c r="N297">
        <v>0</v>
      </c>
      <c r="Q297" s="49"/>
      <c r="R297" s="49" t="str">
        <f>DataTable[HLD_Portfolio]&amp;DataTable[HLD_Date]</f>
        <v>SCBTMF43381</v>
      </c>
    </row>
    <row r="298" spans="1:18" x14ac:dyDescent="0.2">
      <c r="A298" s="49">
        <v>43381</v>
      </c>
      <c r="B298" t="s">
        <v>143</v>
      </c>
      <c r="C298" t="s">
        <v>132</v>
      </c>
      <c r="D298" t="s">
        <v>135</v>
      </c>
      <c r="I298" s="49"/>
      <c r="J298" s="47">
        <v>-70554.539999999994</v>
      </c>
      <c r="K298">
        <v>0</v>
      </c>
      <c r="N298">
        <v>0</v>
      </c>
      <c r="Q298" s="49"/>
      <c r="R298" s="49" t="str">
        <f>DataTable[HLD_Portfolio]&amp;DataTable[HLD_Date]</f>
        <v>SCBTMF43381</v>
      </c>
    </row>
    <row r="299" spans="1:18" x14ac:dyDescent="0.2">
      <c r="A299" s="49">
        <v>43381</v>
      </c>
      <c r="B299" t="s">
        <v>143</v>
      </c>
      <c r="C299" t="s">
        <v>132</v>
      </c>
      <c r="D299" t="s">
        <v>136</v>
      </c>
      <c r="E299" t="s">
        <v>136</v>
      </c>
      <c r="F299" t="s">
        <v>136</v>
      </c>
      <c r="I299" s="49"/>
      <c r="J299" s="47">
        <v>-4182.17</v>
      </c>
      <c r="N299">
        <v>0</v>
      </c>
      <c r="Q299" s="49"/>
      <c r="R299" s="49" t="str">
        <f>DataTable[HLD_Portfolio]&amp;DataTable[HLD_Date]</f>
        <v>SCBTMF43381</v>
      </c>
    </row>
    <row r="300" spans="1:18" x14ac:dyDescent="0.2">
      <c r="A300" s="49">
        <v>43381</v>
      </c>
      <c r="B300" t="s">
        <v>143</v>
      </c>
      <c r="C300" t="s">
        <v>132</v>
      </c>
      <c r="D300" t="s">
        <v>136</v>
      </c>
      <c r="E300" t="s">
        <v>136</v>
      </c>
      <c r="F300" t="s">
        <v>136</v>
      </c>
      <c r="I300" s="49"/>
      <c r="J300" s="47">
        <v>-1133.2</v>
      </c>
      <c r="N300">
        <v>0</v>
      </c>
      <c r="Q300" s="49"/>
      <c r="R300" s="49" t="str">
        <f>DataTable[HLD_Portfolio]&amp;DataTable[HLD_Date]</f>
        <v>SCBTMF43381</v>
      </c>
    </row>
    <row r="301" spans="1:18" x14ac:dyDescent="0.2">
      <c r="A301" s="49">
        <v>43381</v>
      </c>
      <c r="B301" t="s">
        <v>143</v>
      </c>
      <c r="C301" t="s">
        <v>132</v>
      </c>
      <c r="D301" t="s">
        <v>137</v>
      </c>
      <c r="E301" t="s">
        <v>137</v>
      </c>
      <c r="I301" s="49"/>
      <c r="J301" s="47">
        <v>-13980.13</v>
      </c>
      <c r="L301">
        <v>-13980.13</v>
      </c>
      <c r="N301">
        <v>0</v>
      </c>
      <c r="Q301" s="49"/>
      <c r="R301" s="49" t="str">
        <f>DataTable[HLD_Portfolio]&amp;DataTable[HLD_Date]</f>
        <v>SCBTMF43381</v>
      </c>
    </row>
    <row r="302" spans="1:18" x14ac:dyDescent="0.2">
      <c r="A302" s="49">
        <v>43381</v>
      </c>
      <c r="B302" t="s">
        <v>143</v>
      </c>
      <c r="C302" t="s">
        <v>132</v>
      </c>
      <c r="D302" t="s">
        <v>138</v>
      </c>
      <c r="E302" t="s">
        <v>138</v>
      </c>
      <c r="I302" s="49"/>
      <c r="J302" s="47">
        <v>-404140.52</v>
      </c>
      <c r="L302">
        <v>-404140.52</v>
      </c>
      <c r="N302">
        <v>0</v>
      </c>
      <c r="Q302" s="49"/>
      <c r="R302" s="49" t="str">
        <f>DataTable[HLD_Portfolio]&amp;DataTable[HLD_Date]</f>
        <v>SCBTMF43381</v>
      </c>
    </row>
    <row r="303" spans="1:18" x14ac:dyDescent="0.2">
      <c r="A303" s="49">
        <v>43381</v>
      </c>
      <c r="B303" t="s">
        <v>143</v>
      </c>
      <c r="C303" t="s">
        <v>132</v>
      </c>
      <c r="D303" t="s">
        <v>139</v>
      </c>
      <c r="E303" t="s">
        <v>139</v>
      </c>
      <c r="I303" s="49"/>
      <c r="J303" s="47">
        <v>0</v>
      </c>
      <c r="L303">
        <v>0</v>
      </c>
      <c r="N303">
        <v>0</v>
      </c>
      <c r="Q303" s="49"/>
      <c r="R303" s="49" t="str">
        <f>DataTable[HLD_Portfolio]&amp;DataTable[HLD_Date]</f>
        <v>SCBTMF43381</v>
      </c>
    </row>
    <row r="304" spans="1:18" x14ac:dyDescent="0.2">
      <c r="A304" s="49">
        <v>43381</v>
      </c>
      <c r="B304" t="s">
        <v>143</v>
      </c>
      <c r="C304" t="s">
        <v>140</v>
      </c>
      <c r="D304" t="s">
        <v>137</v>
      </c>
      <c r="E304" t="s">
        <v>137</v>
      </c>
      <c r="I304" s="49"/>
      <c r="J304" s="47">
        <v>-8281.09</v>
      </c>
      <c r="L304">
        <v>-8281.09</v>
      </c>
      <c r="N304">
        <v>0</v>
      </c>
      <c r="Q304" s="49"/>
      <c r="R304" s="49" t="str">
        <f>DataTable[HLD_Portfolio]&amp;DataTable[HLD_Date]</f>
        <v>SCBTMF43381</v>
      </c>
    </row>
    <row r="305" spans="1:18" x14ac:dyDescent="0.2">
      <c r="A305" s="49">
        <v>43381</v>
      </c>
      <c r="B305" t="s">
        <v>143</v>
      </c>
      <c r="C305" t="s">
        <v>140</v>
      </c>
      <c r="D305" t="s">
        <v>138</v>
      </c>
      <c r="E305" t="s">
        <v>138</v>
      </c>
      <c r="I305" s="49"/>
      <c r="J305" s="47">
        <v>-239391.71</v>
      </c>
      <c r="L305">
        <v>-239391.71</v>
      </c>
      <c r="N305">
        <v>0</v>
      </c>
      <c r="Q305" s="49"/>
      <c r="R305" s="49" t="str">
        <f>DataTable[HLD_Portfolio]&amp;DataTable[HLD_Date]</f>
        <v>SCBTMF43381</v>
      </c>
    </row>
    <row r="306" spans="1:18" x14ac:dyDescent="0.2">
      <c r="A306" s="49">
        <v>43381</v>
      </c>
      <c r="B306" t="s">
        <v>143</v>
      </c>
      <c r="C306" t="s">
        <v>140</v>
      </c>
      <c r="D306" t="s">
        <v>139</v>
      </c>
      <c r="E306" t="s">
        <v>139</v>
      </c>
      <c r="I306" s="49"/>
      <c r="J306" s="47">
        <v>0</v>
      </c>
      <c r="L306">
        <v>0</v>
      </c>
      <c r="N306">
        <v>0</v>
      </c>
      <c r="Q306" s="49"/>
      <c r="R306" s="49" t="str">
        <f>DataTable[HLD_Portfolio]&amp;DataTable[HLD_Date]</f>
        <v>SCBTMF43381</v>
      </c>
    </row>
    <row r="307" spans="1:18" x14ac:dyDescent="0.2">
      <c r="A307" s="49">
        <v>43381</v>
      </c>
      <c r="B307" t="s">
        <v>144</v>
      </c>
      <c r="C307" t="s">
        <v>18</v>
      </c>
      <c r="D307" t="s">
        <v>19</v>
      </c>
      <c r="F307" t="s">
        <v>20</v>
      </c>
      <c r="G307" t="s">
        <v>149</v>
      </c>
      <c r="I307" s="49"/>
      <c r="J307" s="47">
        <v>2752722.41</v>
      </c>
      <c r="K307">
        <v>6020.51</v>
      </c>
      <c r="L307">
        <v>2752722.41</v>
      </c>
      <c r="M307">
        <v>0</v>
      </c>
      <c r="N307">
        <v>0</v>
      </c>
      <c r="O307" t="s">
        <v>22</v>
      </c>
      <c r="P307" t="s">
        <v>23</v>
      </c>
      <c r="Q307" s="49">
        <v>2</v>
      </c>
      <c r="R307" s="49" t="str">
        <f>DataTable[HLD_Portfolio]&amp;DataTable[HLD_Date]</f>
        <v>SCBTMFPLUS43381</v>
      </c>
    </row>
    <row r="308" spans="1:18" x14ac:dyDescent="0.2">
      <c r="A308" s="49">
        <v>43381</v>
      </c>
      <c r="B308" t="s">
        <v>144</v>
      </c>
      <c r="C308" t="s">
        <v>18</v>
      </c>
      <c r="D308" t="s">
        <v>38</v>
      </c>
      <c r="F308" t="s">
        <v>314</v>
      </c>
      <c r="G308" t="s">
        <v>58</v>
      </c>
      <c r="H308" t="s">
        <v>59</v>
      </c>
      <c r="I308" s="49">
        <v>43441</v>
      </c>
      <c r="J308" s="47">
        <v>150000000</v>
      </c>
      <c r="K308">
        <v>2005479.45</v>
      </c>
      <c r="L308">
        <v>150000000</v>
      </c>
      <c r="M308">
        <v>0.16395199999999999</v>
      </c>
      <c r="N308">
        <v>1.6</v>
      </c>
      <c r="O308" t="s">
        <v>42</v>
      </c>
      <c r="P308" t="s">
        <v>23</v>
      </c>
      <c r="Q308" s="49">
        <v>43077</v>
      </c>
      <c r="R308" s="49" t="str">
        <f>DataTable[HLD_Portfolio]&amp;DataTable[HLD_Date]</f>
        <v>SCBTMFPLUS43381</v>
      </c>
    </row>
    <row r="309" spans="1:18" x14ac:dyDescent="0.2">
      <c r="A309" s="49">
        <v>43381</v>
      </c>
      <c r="B309" t="s">
        <v>144</v>
      </c>
      <c r="C309" t="s">
        <v>18</v>
      </c>
      <c r="D309" t="s">
        <v>38</v>
      </c>
      <c r="F309" t="s">
        <v>311</v>
      </c>
      <c r="G309" t="s">
        <v>58</v>
      </c>
      <c r="H309" t="s">
        <v>59</v>
      </c>
      <c r="I309" s="49">
        <v>43564</v>
      </c>
      <c r="J309" s="47">
        <v>120000000</v>
      </c>
      <c r="K309">
        <v>902465.75</v>
      </c>
      <c r="L309">
        <v>120000000</v>
      </c>
      <c r="M309">
        <v>0.49765500000000001</v>
      </c>
      <c r="N309">
        <v>1.5</v>
      </c>
      <c r="O309" t="s">
        <v>42</v>
      </c>
      <c r="P309" t="s">
        <v>23</v>
      </c>
      <c r="Q309" s="49">
        <v>43199</v>
      </c>
      <c r="R309" s="49" t="str">
        <f>DataTable[HLD_Portfolio]&amp;DataTable[HLD_Date]</f>
        <v>SCBTMFPLUS43381</v>
      </c>
    </row>
    <row r="310" spans="1:18" x14ac:dyDescent="0.2">
      <c r="A310" s="49">
        <v>43381</v>
      </c>
      <c r="B310" t="s">
        <v>144</v>
      </c>
      <c r="C310" t="s">
        <v>18</v>
      </c>
      <c r="D310" t="s">
        <v>38</v>
      </c>
      <c r="F310" t="s">
        <v>61</v>
      </c>
      <c r="G310" t="s">
        <v>58</v>
      </c>
      <c r="H310" t="s">
        <v>59</v>
      </c>
      <c r="I310" s="49">
        <v>43686</v>
      </c>
      <c r="J310" s="47">
        <v>60000000</v>
      </c>
      <c r="K310">
        <v>170465.75</v>
      </c>
      <c r="L310">
        <v>60000000</v>
      </c>
      <c r="M310">
        <v>0.82394500000000004</v>
      </c>
      <c r="N310">
        <v>1.7</v>
      </c>
      <c r="O310" t="s">
        <v>42</v>
      </c>
      <c r="P310" t="s">
        <v>23</v>
      </c>
      <c r="Q310" s="49">
        <v>43321</v>
      </c>
      <c r="R310" s="49" t="str">
        <f>DataTable[HLD_Portfolio]&amp;DataTable[HLD_Date]</f>
        <v>SCBTMFPLUS43381</v>
      </c>
    </row>
    <row r="311" spans="1:18" x14ac:dyDescent="0.2">
      <c r="A311" s="49">
        <v>43381</v>
      </c>
      <c r="B311" t="s">
        <v>144</v>
      </c>
      <c r="C311" t="s">
        <v>18</v>
      </c>
      <c r="D311" t="s">
        <v>38</v>
      </c>
      <c r="F311" t="s">
        <v>65</v>
      </c>
      <c r="G311" t="s">
        <v>58</v>
      </c>
      <c r="H311" t="s">
        <v>59</v>
      </c>
      <c r="I311" s="49">
        <v>43483</v>
      </c>
      <c r="J311" s="47">
        <v>50000000</v>
      </c>
      <c r="K311">
        <v>578630.14</v>
      </c>
      <c r="L311">
        <v>50000000</v>
      </c>
      <c r="M311">
        <v>0.27820800000000001</v>
      </c>
      <c r="N311">
        <v>1.6</v>
      </c>
      <c r="O311" t="s">
        <v>42</v>
      </c>
      <c r="P311" t="s">
        <v>23</v>
      </c>
      <c r="Q311" s="49">
        <v>43118</v>
      </c>
      <c r="R311" s="49" t="str">
        <f>DataTable[HLD_Portfolio]&amp;DataTable[HLD_Date]</f>
        <v>SCBTMFPLUS43381</v>
      </c>
    </row>
    <row r="312" spans="1:18" x14ac:dyDescent="0.2">
      <c r="A312" s="49">
        <v>43381</v>
      </c>
      <c r="B312" t="s">
        <v>144</v>
      </c>
      <c r="C312" t="s">
        <v>18</v>
      </c>
      <c r="D312" t="s">
        <v>38</v>
      </c>
      <c r="F312" t="s">
        <v>180</v>
      </c>
      <c r="G312" t="s">
        <v>58</v>
      </c>
      <c r="H312" t="s">
        <v>59</v>
      </c>
      <c r="I312" s="49">
        <v>43672</v>
      </c>
      <c r="J312" s="47">
        <v>200000000</v>
      </c>
      <c r="K312">
        <v>698630.14</v>
      </c>
      <c r="L312">
        <v>200000000</v>
      </c>
      <c r="M312">
        <v>0.78663499999999997</v>
      </c>
      <c r="N312">
        <v>1.7</v>
      </c>
      <c r="O312" t="s">
        <v>42</v>
      </c>
      <c r="P312" t="s">
        <v>23</v>
      </c>
      <c r="Q312" s="49">
        <v>43307</v>
      </c>
      <c r="R312" s="49" t="str">
        <f>DataTable[HLD_Portfolio]&amp;DataTable[HLD_Date]</f>
        <v>SCBTMFPLUS43381</v>
      </c>
    </row>
    <row r="313" spans="1:18" x14ac:dyDescent="0.2">
      <c r="A313" s="49">
        <v>43381</v>
      </c>
      <c r="B313" t="s">
        <v>144</v>
      </c>
      <c r="C313" t="s">
        <v>18</v>
      </c>
      <c r="D313" t="s">
        <v>38</v>
      </c>
      <c r="F313" t="s">
        <v>315</v>
      </c>
      <c r="G313" t="s">
        <v>73</v>
      </c>
      <c r="H313" t="s">
        <v>27</v>
      </c>
      <c r="I313" s="49">
        <v>55153</v>
      </c>
      <c r="J313" s="47">
        <v>2041</v>
      </c>
      <c r="K313">
        <v>2.1</v>
      </c>
      <c r="L313">
        <v>2041</v>
      </c>
      <c r="M313">
        <v>0</v>
      </c>
      <c r="N313">
        <v>0</v>
      </c>
      <c r="O313" t="s">
        <v>42</v>
      </c>
      <c r="P313" t="s">
        <v>23</v>
      </c>
      <c r="Q313" s="49">
        <v>41247</v>
      </c>
      <c r="R313" s="49" t="str">
        <f>DataTable[HLD_Portfolio]&amp;DataTable[HLD_Date]</f>
        <v>SCBTMFPLUS43381</v>
      </c>
    </row>
    <row r="314" spans="1:18" x14ac:dyDescent="0.2">
      <c r="A314" s="49">
        <v>43381</v>
      </c>
      <c r="B314" t="s">
        <v>144</v>
      </c>
      <c r="C314" t="s">
        <v>18</v>
      </c>
      <c r="D314" t="s">
        <v>38</v>
      </c>
      <c r="F314" t="s">
        <v>316</v>
      </c>
      <c r="G314" t="s">
        <v>75</v>
      </c>
      <c r="H314" t="s">
        <v>59</v>
      </c>
      <c r="I314" s="49">
        <v>44196</v>
      </c>
      <c r="J314" s="47">
        <v>114816728.56</v>
      </c>
      <c r="K314">
        <v>126863.61</v>
      </c>
      <c r="L314">
        <v>114816728.56</v>
      </c>
      <c r="M314">
        <v>0</v>
      </c>
      <c r="N314">
        <v>0</v>
      </c>
      <c r="O314" t="s">
        <v>42</v>
      </c>
      <c r="P314" t="s">
        <v>23</v>
      </c>
      <c r="Q314" s="49">
        <v>41164</v>
      </c>
      <c r="R314" s="49" t="str">
        <f>DataTable[HLD_Portfolio]&amp;DataTable[HLD_Date]</f>
        <v>SCBTMFPLUS43381</v>
      </c>
    </row>
    <row r="315" spans="1:18" x14ac:dyDescent="0.2">
      <c r="A315" s="49">
        <v>43381</v>
      </c>
      <c r="B315" t="s">
        <v>144</v>
      </c>
      <c r="C315" t="s">
        <v>18</v>
      </c>
      <c r="D315" t="s">
        <v>85</v>
      </c>
      <c r="F315" t="s">
        <v>86</v>
      </c>
      <c r="G315" t="s">
        <v>87</v>
      </c>
      <c r="H315" t="s">
        <v>29</v>
      </c>
      <c r="I315" s="49">
        <v>43418</v>
      </c>
      <c r="J315" s="47">
        <v>67918274.879999995</v>
      </c>
      <c r="L315">
        <v>67918274.879999995</v>
      </c>
      <c r="M315">
        <v>9.8512000000000002E-2</v>
      </c>
      <c r="N315">
        <v>1.22</v>
      </c>
      <c r="O315" t="s">
        <v>42</v>
      </c>
      <c r="P315" t="s">
        <v>23</v>
      </c>
      <c r="Q315" s="49">
        <v>43054</v>
      </c>
      <c r="R315" s="49" t="str">
        <f>DataTable[HLD_Portfolio]&amp;DataTable[HLD_Date]</f>
        <v>SCBTMFPLUS43381</v>
      </c>
    </row>
    <row r="316" spans="1:18" x14ac:dyDescent="0.2">
      <c r="A316" s="49">
        <v>43381</v>
      </c>
      <c r="B316" t="s">
        <v>144</v>
      </c>
      <c r="C316" t="s">
        <v>18</v>
      </c>
      <c r="D316" t="s">
        <v>89</v>
      </c>
      <c r="F316" t="s">
        <v>317</v>
      </c>
      <c r="G316" t="s">
        <v>91</v>
      </c>
      <c r="I316" s="49">
        <v>43440</v>
      </c>
      <c r="J316" s="47">
        <v>49896134</v>
      </c>
      <c r="L316">
        <v>49896134</v>
      </c>
      <c r="M316">
        <v>0.15851100000000001</v>
      </c>
      <c r="N316">
        <v>1.31</v>
      </c>
      <c r="O316" t="s">
        <v>42</v>
      </c>
      <c r="P316" t="s">
        <v>23</v>
      </c>
      <c r="Q316" s="49">
        <v>43076</v>
      </c>
      <c r="R316" s="49" t="str">
        <f>DataTable[HLD_Portfolio]&amp;DataTable[HLD_Date]</f>
        <v>SCBTMFPLUS43381</v>
      </c>
    </row>
    <row r="317" spans="1:18" x14ac:dyDescent="0.2">
      <c r="A317" s="49">
        <v>43381</v>
      </c>
      <c r="B317" t="s">
        <v>144</v>
      </c>
      <c r="C317" t="s">
        <v>18</v>
      </c>
      <c r="D317" t="s">
        <v>89</v>
      </c>
      <c r="F317" t="s">
        <v>90</v>
      </c>
      <c r="G317" t="s">
        <v>91</v>
      </c>
      <c r="I317" s="49">
        <v>43440</v>
      </c>
      <c r="J317" s="47">
        <v>997938510</v>
      </c>
      <c r="L317">
        <v>997871080</v>
      </c>
      <c r="M317">
        <v>0.158583</v>
      </c>
      <c r="N317">
        <v>1.3426119999999999</v>
      </c>
      <c r="O317" t="s">
        <v>42</v>
      </c>
      <c r="P317" t="s">
        <v>23</v>
      </c>
      <c r="Q317" s="49">
        <v>43349</v>
      </c>
      <c r="R317" s="49" t="str">
        <f>DataTable[HLD_Portfolio]&amp;DataTable[HLD_Date]</f>
        <v>SCBTMFPLUS43381</v>
      </c>
    </row>
    <row r="318" spans="1:18" x14ac:dyDescent="0.2">
      <c r="A318" s="49">
        <v>43381</v>
      </c>
      <c r="B318" t="s">
        <v>144</v>
      </c>
      <c r="C318" t="s">
        <v>18</v>
      </c>
      <c r="D318" t="s">
        <v>89</v>
      </c>
      <c r="F318" t="s">
        <v>92</v>
      </c>
      <c r="G318" t="s">
        <v>91</v>
      </c>
      <c r="I318" s="49">
        <v>43447</v>
      </c>
      <c r="J318" s="47">
        <v>957980265.60000002</v>
      </c>
      <c r="L318">
        <v>957964406.39999998</v>
      </c>
      <c r="M318">
        <v>0.177673</v>
      </c>
      <c r="N318">
        <v>1.193222</v>
      </c>
      <c r="O318" t="s">
        <v>42</v>
      </c>
      <c r="P318" t="s">
        <v>23</v>
      </c>
      <c r="Q318" s="49">
        <v>43356</v>
      </c>
      <c r="R318" s="49" t="str">
        <f>DataTable[HLD_Portfolio]&amp;DataTable[HLD_Date]</f>
        <v>SCBTMFPLUS43381</v>
      </c>
    </row>
    <row r="319" spans="1:18" x14ac:dyDescent="0.2">
      <c r="A319" s="49">
        <v>43381</v>
      </c>
      <c r="B319" t="s">
        <v>144</v>
      </c>
      <c r="C319" t="s">
        <v>18</v>
      </c>
      <c r="D319" t="s">
        <v>89</v>
      </c>
      <c r="F319" t="s">
        <v>93</v>
      </c>
      <c r="G319" t="s">
        <v>91</v>
      </c>
      <c r="I319" s="49">
        <v>43454</v>
      </c>
      <c r="J319" s="47">
        <v>598518300</v>
      </c>
      <c r="L319">
        <v>598374672</v>
      </c>
      <c r="M319">
        <v>0.19673199999999999</v>
      </c>
      <c r="N319">
        <v>1.3769830000000001</v>
      </c>
      <c r="O319" t="s">
        <v>42</v>
      </c>
      <c r="P319" t="s">
        <v>23</v>
      </c>
      <c r="Q319" s="49">
        <v>43363</v>
      </c>
      <c r="R319" s="49" t="str">
        <f>DataTable[HLD_Portfolio]&amp;DataTable[HLD_Date]</f>
        <v>SCBTMFPLUS43381</v>
      </c>
    </row>
    <row r="320" spans="1:18" x14ac:dyDescent="0.2">
      <c r="A320" s="49">
        <v>43381</v>
      </c>
      <c r="B320" t="s">
        <v>144</v>
      </c>
      <c r="C320" t="s">
        <v>18</v>
      </c>
      <c r="D320" t="s">
        <v>89</v>
      </c>
      <c r="F320" t="s">
        <v>211</v>
      </c>
      <c r="G320" t="s">
        <v>91</v>
      </c>
      <c r="I320" s="49">
        <v>43461</v>
      </c>
      <c r="J320" s="47">
        <v>847468742.5</v>
      </c>
      <c r="L320">
        <v>847338590.5</v>
      </c>
      <c r="M320">
        <v>0.21576100000000001</v>
      </c>
      <c r="N320">
        <v>1.451176</v>
      </c>
      <c r="O320" t="s">
        <v>42</v>
      </c>
      <c r="P320" t="s">
        <v>23</v>
      </c>
      <c r="Q320" s="49">
        <v>43370</v>
      </c>
      <c r="R320" s="49" t="str">
        <f>DataTable[HLD_Portfolio]&amp;DataTable[HLD_Date]</f>
        <v>SCBTMFPLUS43381</v>
      </c>
    </row>
    <row r="321" spans="1:18" x14ac:dyDescent="0.2">
      <c r="A321" s="49">
        <v>43381</v>
      </c>
      <c r="B321" t="s">
        <v>144</v>
      </c>
      <c r="C321" t="s">
        <v>18</v>
      </c>
      <c r="D321" t="s">
        <v>89</v>
      </c>
      <c r="F321" t="s">
        <v>212</v>
      </c>
      <c r="G321" t="s">
        <v>91</v>
      </c>
      <c r="I321" s="49">
        <v>43405</v>
      </c>
      <c r="J321" s="47">
        <v>201843185.38</v>
      </c>
      <c r="L321">
        <v>201843185.38</v>
      </c>
      <c r="M321">
        <v>6.2966999999999995E-2</v>
      </c>
      <c r="N321">
        <v>1.2329209999999999</v>
      </c>
      <c r="O321" t="s">
        <v>42</v>
      </c>
      <c r="P321" t="s">
        <v>23</v>
      </c>
      <c r="Q321" s="49">
        <v>43223</v>
      </c>
      <c r="R321" s="49" t="str">
        <f>DataTable[HLD_Portfolio]&amp;DataTable[HLD_Date]</f>
        <v>SCBTMFPLUS43381</v>
      </c>
    </row>
    <row r="322" spans="1:18" x14ac:dyDescent="0.2">
      <c r="A322" s="49">
        <v>43381</v>
      </c>
      <c r="B322" t="s">
        <v>144</v>
      </c>
      <c r="C322" t="s">
        <v>18</v>
      </c>
      <c r="D322" t="s">
        <v>89</v>
      </c>
      <c r="F322" t="s">
        <v>94</v>
      </c>
      <c r="G322" t="s">
        <v>91</v>
      </c>
      <c r="I322" s="49">
        <v>43405</v>
      </c>
      <c r="J322" s="47">
        <v>1348928667</v>
      </c>
      <c r="L322">
        <v>1348923591</v>
      </c>
      <c r="M322">
        <v>6.2966999999999995E-2</v>
      </c>
      <c r="N322">
        <v>1.266359</v>
      </c>
      <c r="O322" t="s">
        <v>42</v>
      </c>
      <c r="P322" t="s">
        <v>23</v>
      </c>
      <c r="Q322" s="49">
        <v>43314</v>
      </c>
      <c r="R322" s="49" t="str">
        <f>DataTable[HLD_Portfolio]&amp;DataTable[HLD_Date]</f>
        <v>SCBTMFPLUS43381</v>
      </c>
    </row>
    <row r="323" spans="1:18" x14ac:dyDescent="0.2">
      <c r="A323" s="49">
        <v>43381</v>
      </c>
      <c r="B323" t="s">
        <v>144</v>
      </c>
      <c r="C323" t="s">
        <v>18</v>
      </c>
      <c r="D323" t="s">
        <v>89</v>
      </c>
      <c r="F323" t="s">
        <v>95</v>
      </c>
      <c r="G323" t="s">
        <v>91</v>
      </c>
      <c r="I323" s="49">
        <v>43412</v>
      </c>
      <c r="J323" s="47">
        <v>43956071.280000001</v>
      </c>
      <c r="L323">
        <v>43956071.280000001</v>
      </c>
      <c r="M323">
        <v>8.2113000000000005E-2</v>
      </c>
      <c r="N323">
        <v>1.2159089999999999</v>
      </c>
      <c r="O323" t="s">
        <v>42</v>
      </c>
      <c r="P323" t="s">
        <v>23</v>
      </c>
      <c r="Q323" s="49">
        <v>43230</v>
      </c>
      <c r="R323" s="49" t="str">
        <f>DataTable[HLD_Portfolio]&amp;DataTable[HLD_Date]</f>
        <v>SCBTMFPLUS43381</v>
      </c>
    </row>
    <row r="324" spans="1:18" x14ac:dyDescent="0.2">
      <c r="A324" s="49">
        <v>43381</v>
      </c>
      <c r="B324" t="s">
        <v>144</v>
      </c>
      <c r="C324" t="s">
        <v>18</v>
      </c>
      <c r="D324" t="s">
        <v>89</v>
      </c>
      <c r="F324" t="s">
        <v>96</v>
      </c>
      <c r="G324" t="s">
        <v>91</v>
      </c>
      <c r="I324" s="49">
        <v>43412</v>
      </c>
      <c r="J324" s="47">
        <v>671350485.12</v>
      </c>
      <c r="L324">
        <v>671349786.24000001</v>
      </c>
      <c r="M324">
        <v>8.2112000000000004E-2</v>
      </c>
      <c r="N324">
        <v>1.1783650000000001</v>
      </c>
      <c r="O324" t="s">
        <v>42</v>
      </c>
      <c r="P324" t="s">
        <v>23</v>
      </c>
      <c r="Q324" s="49">
        <v>43321</v>
      </c>
      <c r="R324" s="49" t="str">
        <f>DataTable[HLD_Portfolio]&amp;DataTable[HLD_Date]</f>
        <v>SCBTMFPLUS43381</v>
      </c>
    </row>
    <row r="325" spans="1:18" x14ac:dyDescent="0.2">
      <c r="A325" s="49">
        <v>43381</v>
      </c>
      <c r="B325" t="s">
        <v>144</v>
      </c>
      <c r="C325" t="s">
        <v>18</v>
      </c>
      <c r="D325" t="s">
        <v>89</v>
      </c>
      <c r="F325" t="s">
        <v>97</v>
      </c>
      <c r="G325" t="s">
        <v>91</v>
      </c>
      <c r="I325" s="49">
        <v>43419</v>
      </c>
      <c r="J325" s="47">
        <v>30963119.920000002</v>
      </c>
      <c r="L325">
        <v>30963119.920000002</v>
      </c>
      <c r="M325">
        <v>0.10124900000000001</v>
      </c>
      <c r="N325">
        <v>1.175</v>
      </c>
      <c r="O325" t="s">
        <v>42</v>
      </c>
      <c r="P325" t="s">
        <v>23</v>
      </c>
      <c r="Q325" s="49">
        <v>43237</v>
      </c>
      <c r="R325" s="49" t="str">
        <f>DataTable[HLD_Portfolio]&amp;DataTable[HLD_Date]</f>
        <v>SCBTMFPLUS43381</v>
      </c>
    </row>
    <row r="326" spans="1:18" x14ac:dyDescent="0.2">
      <c r="A326" s="49">
        <v>43381</v>
      </c>
      <c r="B326" t="s">
        <v>144</v>
      </c>
      <c r="C326" t="s">
        <v>18</v>
      </c>
      <c r="D326" t="s">
        <v>89</v>
      </c>
      <c r="F326" t="s">
        <v>98</v>
      </c>
      <c r="G326" t="s">
        <v>91</v>
      </c>
      <c r="I326" s="49">
        <v>43419</v>
      </c>
      <c r="J326" s="47">
        <v>1002754558.08</v>
      </c>
      <c r="L326">
        <v>1002753774.96</v>
      </c>
      <c r="M326">
        <v>0.10125000000000001</v>
      </c>
      <c r="N326">
        <v>1.22601</v>
      </c>
      <c r="O326" t="s">
        <v>42</v>
      </c>
      <c r="P326" t="s">
        <v>23</v>
      </c>
      <c r="Q326" s="49">
        <v>43328</v>
      </c>
      <c r="R326" s="49" t="str">
        <f>DataTable[HLD_Portfolio]&amp;DataTable[HLD_Date]</f>
        <v>SCBTMFPLUS43381</v>
      </c>
    </row>
    <row r="327" spans="1:18" x14ac:dyDescent="0.2">
      <c r="A327" s="49">
        <v>43381</v>
      </c>
      <c r="B327" t="s">
        <v>144</v>
      </c>
      <c r="C327" t="s">
        <v>18</v>
      </c>
      <c r="D327" t="s">
        <v>89</v>
      </c>
      <c r="F327" t="s">
        <v>100</v>
      </c>
      <c r="G327" t="s">
        <v>91</v>
      </c>
      <c r="I327" s="49">
        <v>43426</v>
      </c>
      <c r="J327" s="47">
        <v>338490954.20999998</v>
      </c>
      <c r="L327">
        <v>338482665.66000003</v>
      </c>
      <c r="M327">
        <v>0.120375</v>
      </c>
      <c r="N327">
        <v>1.267868</v>
      </c>
      <c r="O327" t="s">
        <v>42</v>
      </c>
      <c r="P327" t="s">
        <v>23</v>
      </c>
      <c r="Q327" s="49">
        <v>43335</v>
      </c>
      <c r="R327" s="49" t="str">
        <f>DataTable[HLD_Portfolio]&amp;DataTable[HLD_Date]</f>
        <v>SCBTMFPLUS43381</v>
      </c>
    </row>
    <row r="328" spans="1:18" x14ac:dyDescent="0.2">
      <c r="A328" s="49">
        <v>43381</v>
      </c>
      <c r="B328" t="s">
        <v>144</v>
      </c>
      <c r="C328" t="s">
        <v>18</v>
      </c>
      <c r="D328" t="s">
        <v>89</v>
      </c>
      <c r="F328" t="s">
        <v>102</v>
      </c>
      <c r="G328" t="s">
        <v>91</v>
      </c>
      <c r="I328" s="49">
        <v>43433</v>
      </c>
      <c r="J328" s="47">
        <v>664894453.32000005</v>
      </c>
      <c r="L328">
        <v>664846381.44000006</v>
      </c>
      <c r="M328">
        <v>0.13949600000000001</v>
      </c>
      <c r="N328">
        <v>1.241832</v>
      </c>
      <c r="O328" t="s">
        <v>42</v>
      </c>
      <c r="P328" t="s">
        <v>23</v>
      </c>
      <c r="Q328" s="49">
        <v>43342</v>
      </c>
      <c r="R328" s="49" t="str">
        <f>DataTable[HLD_Portfolio]&amp;DataTable[HLD_Date]</f>
        <v>SCBTMFPLUS43381</v>
      </c>
    </row>
    <row r="329" spans="1:18" x14ac:dyDescent="0.2">
      <c r="A329" s="49">
        <v>43381</v>
      </c>
      <c r="B329" t="s">
        <v>144</v>
      </c>
      <c r="C329" t="s">
        <v>18</v>
      </c>
      <c r="D329" t="s">
        <v>89</v>
      </c>
      <c r="F329" t="s">
        <v>103</v>
      </c>
      <c r="G329" t="s">
        <v>91</v>
      </c>
      <c r="I329" s="49">
        <v>43382</v>
      </c>
      <c r="J329" s="47">
        <v>474000000</v>
      </c>
      <c r="L329">
        <v>474000000</v>
      </c>
      <c r="M329">
        <v>2.7399999999999998E-3</v>
      </c>
      <c r="N329">
        <v>1.16547</v>
      </c>
      <c r="O329" t="s">
        <v>42</v>
      </c>
      <c r="P329" t="s">
        <v>23</v>
      </c>
      <c r="Q329" s="49">
        <v>43368</v>
      </c>
      <c r="R329" s="49" t="str">
        <f>DataTable[HLD_Portfolio]&amp;DataTable[HLD_Date]</f>
        <v>SCBTMFPLUS43381</v>
      </c>
    </row>
    <row r="330" spans="1:18" x14ac:dyDescent="0.2">
      <c r="A330" s="49">
        <v>43381</v>
      </c>
      <c r="B330" t="s">
        <v>144</v>
      </c>
      <c r="C330" t="s">
        <v>18</v>
      </c>
      <c r="D330" t="s">
        <v>89</v>
      </c>
      <c r="F330" t="s">
        <v>104</v>
      </c>
      <c r="G330" t="s">
        <v>91</v>
      </c>
      <c r="I330" s="49">
        <v>43384</v>
      </c>
      <c r="J330" s="47">
        <v>211786423.62</v>
      </c>
      <c r="L330">
        <v>211786423.62</v>
      </c>
      <c r="M330">
        <v>5.4790000000000004E-3</v>
      </c>
      <c r="N330">
        <v>1.169896</v>
      </c>
      <c r="O330" t="s">
        <v>42</v>
      </c>
      <c r="P330" t="s">
        <v>23</v>
      </c>
      <c r="Q330" s="49">
        <v>43202</v>
      </c>
      <c r="R330" s="49" t="str">
        <f>DataTable[HLD_Portfolio]&amp;DataTable[HLD_Date]</f>
        <v>SCBTMFPLUS43381</v>
      </c>
    </row>
    <row r="331" spans="1:18" x14ac:dyDescent="0.2">
      <c r="A331" s="49">
        <v>43381</v>
      </c>
      <c r="B331" t="s">
        <v>144</v>
      </c>
      <c r="C331" t="s">
        <v>18</v>
      </c>
      <c r="D331" t="s">
        <v>89</v>
      </c>
      <c r="F331" t="s">
        <v>105</v>
      </c>
      <c r="G331" t="s">
        <v>91</v>
      </c>
      <c r="I331" s="49">
        <v>43384</v>
      </c>
      <c r="J331" s="47">
        <v>662952794.39999998</v>
      </c>
      <c r="L331">
        <v>662952781.13999999</v>
      </c>
      <c r="M331">
        <v>5.4790000000000004E-3</v>
      </c>
      <c r="N331">
        <v>1.299917</v>
      </c>
      <c r="O331" t="s">
        <v>42</v>
      </c>
      <c r="P331" t="s">
        <v>23</v>
      </c>
      <c r="Q331" s="49">
        <v>43293</v>
      </c>
      <c r="R331" s="49" t="str">
        <f>DataTable[HLD_Portfolio]&amp;DataTable[HLD_Date]</f>
        <v>SCBTMFPLUS43381</v>
      </c>
    </row>
    <row r="332" spans="1:18" x14ac:dyDescent="0.2">
      <c r="A332" s="49">
        <v>43381</v>
      </c>
      <c r="B332" t="s">
        <v>144</v>
      </c>
      <c r="C332" t="s">
        <v>18</v>
      </c>
      <c r="D332" t="s">
        <v>89</v>
      </c>
      <c r="F332" t="s">
        <v>106</v>
      </c>
      <c r="G332" t="s">
        <v>91</v>
      </c>
      <c r="I332" s="49">
        <v>43389</v>
      </c>
      <c r="J332" s="47">
        <v>819825053</v>
      </c>
      <c r="L332">
        <v>819825053</v>
      </c>
      <c r="M332">
        <v>1.9174E-2</v>
      </c>
      <c r="N332">
        <v>1.1127279999999999</v>
      </c>
      <c r="O332" t="s">
        <v>42</v>
      </c>
      <c r="P332" t="s">
        <v>23</v>
      </c>
      <c r="Q332" s="49">
        <v>43375</v>
      </c>
      <c r="R332" s="49" t="str">
        <f>DataTable[HLD_Portfolio]&amp;DataTable[HLD_Date]</f>
        <v>SCBTMFPLUS43381</v>
      </c>
    </row>
    <row r="333" spans="1:18" x14ac:dyDescent="0.2">
      <c r="A333" s="49">
        <v>43381</v>
      </c>
      <c r="B333" t="s">
        <v>144</v>
      </c>
      <c r="C333" t="s">
        <v>18</v>
      </c>
      <c r="D333" t="s">
        <v>89</v>
      </c>
      <c r="F333" t="s">
        <v>107</v>
      </c>
      <c r="G333" t="s">
        <v>91</v>
      </c>
      <c r="I333" s="49">
        <v>43391</v>
      </c>
      <c r="J333" s="47">
        <v>204943651.65000001</v>
      </c>
      <c r="L333">
        <v>204943651.65000001</v>
      </c>
      <c r="M333">
        <v>2.4650999999999999E-2</v>
      </c>
      <c r="N333">
        <v>1.115073</v>
      </c>
      <c r="O333" t="s">
        <v>42</v>
      </c>
      <c r="P333" t="s">
        <v>23</v>
      </c>
      <c r="Q333" s="49">
        <v>43209</v>
      </c>
      <c r="R333" s="49" t="str">
        <f>DataTable[HLD_Portfolio]&amp;DataTable[HLD_Date]</f>
        <v>SCBTMFPLUS43381</v>
      </c>
    </row>
    <row r="334" spans="1:18" x14ac:dyDescent="0.2">
      <c r="A334" s="49">
        <v>43381</v>
      </c>
      <c r="B334" t="s">
        <v>144</v>
      </c>
      <c r="C334" t="s">
        <v>18</v>
      </c>
      <c r="D334" t="s">
        <v>89</v>
      </c>
      <c r="F334" t="s">
        <v>108</v>
      </c>
      <c r="G334" t="s">
        <v>91</v>
      </c>
      <c r="I334" s="49">
        <v>43391</v>
      </c>
      <c r="J334" s="47">
        <v>326893008.87</v>
      </c>
      <c r="L334">
        <v>326890510.58999997</v>
      </c>
      <c r="M334">
        <v>2.4650999999999999E-2</v>
      </c>
      <c r="N334">
        <v>1.3583860000000001</v>
      </c>
      <c r="O334" t="s">
        <v>42</v>
      </c>
      <c r="P334" t="s">
        <v>23</v>
      </c>
      <c r="Q334" s="49">
        <v>43300</v>
      </c>
      <c r="R334" s="49" t="str">
        <f>DataTable[HLD_Portfolio]&amp;DataTable[HLD_Date]</f>
        <v>SCBTMFPLUS43381</v>
      </c>
    </row>
    <row r="335" spans="1:18" x14ac:dyDescent="0.2">
      <c r="A335" s="49">
        <v>43381</v>
      </c>
      <c r="B335" t="s">
        <v>144</v>
      </c>
      <c r="C335" t="s">
        <v>18</v>
      </c>
      <c r="D335" t="s">
        <v>89</v>
      </c>
      <c r="F335" t="s">
        <v>388</v>
      </c>
      <c r="G335" t="s">
        <v>91</v>
      </c>
      <c r="I335" s="49">
        <v>43397</v>
      </c>
      <c r="J335" s="47">
        <v>569733661.33000004</v>
      </c>
      <c r="L335">
        <v>569733661.33000004</v>
      </c>
      <c r="M335">
        <v>4.3836E-2</v>
      </c>
      <c r="N335">
        <v>1.1375390000000001</v>
      </c>
      <c r="O335" t="s">
        <v>42</v>
      </c>
      <c r="P335" t="s">
        <v>23</v>
      </c>
      <c r="Q335" s="49">
        <v>43382</v>
      </c>
      <c r="R335" s="49" t="str">
        <f>DataTable[HLD_Portfolio]&amp;DataTable[HLD_Date]</f>
        <v>SCBTMFPLUS43381</v>
      </c>
    </row>
    <row r="336" spans="1:18" x14ac:dyDescent="0.2">
      <c r="A336" s="49">
        <v>43381</v>
      </c>
      <c r="B336" t="s">
        <v>144</v>
      </c>
      <c r="C336" t="s">
        <v>18</v>
      </c>
      <c r="D336" t="s">
        <v>89</v>
      </c>
      <c r="F336" t="s">
        <v>109</v>
      </c>
      <c r="G336" t="s">
        <v>91</v>
      </c>
      <c r="I336" s="49">
        <v>43398</v>
      </c>
      <c r="J336" s="47">
        <v>264858813.30000001</v>
      </c>
      <c r="L336">
        <v>264858813.30000001</v>
      </c>
      <c r="M336">
        <v>4.3813999999999999E-2</v>
      </c>
      <c r="N336">
        <v>1.2160530000000001</v>
      </c>
      <c r="O336" t="s">
        <v>42</v>
      </c>
      <c r="P336" t="s">
        <v>23</v>
      </c>
      <c r="Q336" s="49">
        <v>43216</v>
      </c>
      <c r="R336" s="49" t="str">
        <f>DataTable[HLD_Portfolio]&amp;DataTable[HLD_Date]</f>
        <v>SCBTMFPLUS43381</v>
      </c>
    </row>
    <row r="337" spans="1:18" x14ac:dyDescent="0.2">
      <c r="A337" s="49">
        <v>43381</v>
      </c>
      <c r="B337" t="s">
        <v>144</v>
      </c>
      <c r="C337" t="s">
        <v>18</v>
      </c>
      <c r="D337" t="s">
        <v>89</v>
      </c>
      <c r="F337" t="s">
        <v>110</v>
      </c>
      <c r="G337" t="s">
        <v>91</v>
      </c>
      <c r="I337" s="49">
        <v>43398</v>
      </c>
      <c r="J337" s="47">
        <v>1204372014.25</v>
      </c>
      <c r="L337">
        <v>1204354505.5999999</v>
      </c>
      <c r="M337">
        <v>4.3812999999999998E-2</v>
      </c>
      <c r="N337">
        <v>1.222683</v>
      </c>
      <c r="O337" t="s">
        <v>42</v>
      </c>
      <c r="P337" t="s">
        <v>23</v>
      </c>
      <c r="Q337" s="49">
        <v>43307</v>
      </c>
      <c r="R337" s="49" t="str">
        <f>DataTable[HLD_Portfolio]&amp;DataTable[HLD_Date]</f>
        <v>SCBTMFPLUS43381</v>
      </c>
    </row>
    <row r="338" spans="1:18" x14ac:dyDescent="0.2">
      <c r="A338" s="49">
        <v>43381</v>
      </c>
      <c r="B338" t="s">
        <v>144</v>
      </c>
      <c r="C338" t="s">
        <v>18</v>
      </c>
      <c r="D338" t="s">
        <v>89</v>
      </c>
      <c r="F338" t="s">
        <v>111</v>
      </c>
      <c r="G338" t="s">
        <v>91</v>
      </c>
      <c r="I338" s="49">
        <v>43468</v>
      </c>
      <c r="J338" s="47">
        <v>448446775.5</v>
      </c>
      <c r="L338">
        <v>448425013.5</v>
      </c>
      <c r="M338">
        <v>0.23480300000000001</v>
      </c>
      <c r="N338">
        <v>1.490669</v>
      </c>
      <c r="O338" t="s">
        <v>42</v>
      </c>
      <c r="P338" t="s">
        <v>23</v>
      </c>
      <c r="Q338" s="49">
        <v>43377</v>
      </c>
      <c r="R338" s="49" t="str">
        <f>DataTable[HLD_Portfolio]&amp;DataTable[HLD_Date]</f>
        <v>SCBTMFPLUS43381</v>
      </c>
    </row>
    <row r="339" spans="1:18" x14ac:dyDescent="0.2">
      <c r="A339" s="49">
        <v>43381</v>
      </c>
      <c r="B339" t="s">
        <v>144</v>
      </c>
      <c r="C339" t="s">
        <v>18</v>
      </c>
      <c r="D339" t="s">
        <v>115</v>
      </c>
      <c r="F339" t="s">
        <v>318</v>
      </c>
      <c r="G339" t="s">
        <v>58</v>
      </c>
      <c r="H339" t="s">
        <v>59</v>
      </c>
      <c r="I339" s="49">
        <v>43457</v>
      </c>
      <c r="J339" s="47">
        <v>100257031</v>
      </c>
      <c r="K339">
        <v>795945</v>
      </c>
      <c r="L339">
        <v>100252761</v>
      </c>
      <c r="M339">
        <v>0.20397699999999999</v>
      </c>
      <c r="N339">
        <v>1.43</v>
      </c>
      <c r="O339" t="s">
        <v>42</v>
      </c>
      <c r="P339" t="s">
        <v>23</v>
      </c>
      <c r="Q339" s="49">
        <v>42178</v>
      </c>
      <c r="R339" s="49" t="str">
        <f>DataTable[HLD_Portfolio]&amp;DataTable[HLD_Date]</f>
        <v>SCBTMFPLUS43381</v>
      </c>
    </row>
    <row r="340" spans="1:18" x14ac:dyDescent="0.2">
      <c r="A340" s="49">
        <v>43381</v>
      </c>
      <c r="B340" t="s">
        <v>144</v>
      </c>
      <c r="C340" t="s">
        <v>18</v>
      </c>
      <c r="D340" t="s">
        <v>112</v>
      </c>
      <c r="F340" t="s">
        <v>319</v>
      </c>
      <c r="G340" t="s">
        <v>21</v>
      </c>
      <c r="H340" t="s">
        <v>320</v>
      </c>
      <c r="I340" s="49">
        <v>43525</v>
      </c>
      <c r="J340" s="47">
        <v>30014916</v>
      </c>
      <c r="K340">
        <v>58093.2</v>
      </c>
      <c r="L340">
        <v>30046489.199999999</v>
      </c>
      <c r="M340">
        <v>0.38838200000000001</v>
      </c>
      <c r="N340">
        <v>1.48</v>
      </c>
      <c r="O340" t="s">
        <v>42</v>
      </c>
      <c r="P340" t="s">
        <v>23</v>
      </c>
      <c r="Q340" s="49">
        <v>42429</v>
      </c>
      <c r="R340" s="49" t="str">
        <f>DataTable[HLD_Portfolio]&amp;DataTable[HLD_Date]</f>
        <v>SCBTMFPLUS43381</v>
      </c>
    </row>
    <row r="341" spans="1:18" x14ac:dyDescent="0.2">
      <c r="A341" s="49">
        <v>43381</v>
      </c>
      <c r="B341" t="s">
        <v>144</v>
      </c>
      <c r="C341" t="s">
        <v>18</v>
      </c>
      <c r="D341" t="s">
        <v>112</v>
      </c>
      <c r="F341" t="s">
        <v>241</v>
      </c>
      <c r="G341" t="s">
        <v>71</v>
      </c>
      <c r="H341" t="s">
        <v>47</v>
      </c>
      <c r="I341" s="49">
        <v>43433</v>
      </c>
      <c r="J341" s="47">
        <v>4001919.76</v>
      </c>
      <c r="K341">
        <v>26964.400000000001</v>
      </c>
      <c r="L341">
        <v>4001447.28</v>
      </c>
      <c r="M341">
        <v>0.13869899999999999</v>
      </c>
      <c r="N341">
        <v>1.53</v>
      </c>
      <c r="O341" t="s">
        <v>42</v>
      </c>
      <c r="P341" t="s">
        <v>23</v>
      </c>
      <c r="Q341" s="49">
        <v>42884</v>
      </c>
      <c r="R341" s="49" t="str">
        <f>DataTable[HLD_Portfolio]&amp;DataTable[HLD_Date]</f>
        <v>SCBTMFPLUS43381</v>
      </c>
    </row>
    <row r="342" spans="1:18" x14ac:dyDescent="0.2">
      <c r="A342" s="49">
        <v>43381</v>
      </c>
      <c r="B342" t="s">
        <v>144</v>
      </c>
      <c r="C342" t="s">
        <v>132</v>
      </c>
      <c r="D342" t="s">
        <v>133</v>
      </c>
      <c r="E342" t="s">
        <v>389</v>
      </c>
      <c r="F342" t="s">
        <v>388</v>
      </c>
      <c r="I342" s="49"/>
      <c r="J342" s="47">
        <v>-569733661.33000004</v>
      </c>
      <c r="L342">
        <v>-569733661.33000004</v>
      </c>
      <c r="N342">
        <v>0</v>
      </c>
      <c r="O342" t="s">
        <v>42</v>
      </c>
      <c r="P342" t="s">
        <v>23</v>
      </c>
      <c r="Q342" s="49">
        <v>43382</v>
      </c>
      <c r="R342" s="49" t="str">
        <f>DataTable[HLD_Portfolio]&amp;DataTable[HLD_Date]</f>
        <v>SCBTMFPLUS43381</v>
      </c>
    </row>
    <row r="343" spans="1:18" x14ac:dyDescent="0.2">
      <c r="A343" s="49">
        <v>43381</v>
      </c>
      <c r="B343" t="s">
        <v>144</v>
      </c>
      <c r="C343" t="s">
        <v>132</v>
      </c>
      <c r="D343" t="s">
        <v>134</v>
      </c>
      <c r="E343" t="s">
        <v>134</v>
      </c>
      <c r="F343" t="s">
        <v>134</v>
      </c>
      <c r="I343" s="49"/>
      <c r="J343" s="47">
        <v>-229000</v>
      </c>
      <c r="N343">
        <v>0</v>
      </c>
      <c r="Q343" s="49"/>
      <c r="R343" s="49" t="str">
        <f>DataTable[HLD_Portfolio]&amp;DataTable[HLD_Date]</f>
        <v>SCBTMFPLUS43381</v>
      </c>
    </row>
    <row r="344" spans="1:18" x14ac:dyDescent="0.2">
      <c r="A344" s="49">
        <v>43381</v>
      </c>
      <c r="B344" t="s">
        <v>144</v>
      </c>
      <c r="C344" t="s">
        <v>132</v>
      </c>
      <c r="D344" t="s">
        <v>134</v>
      </c>
      <c r="E344" t="s">
        <v>134</v>
      </c>
      <c r="F344" t="s">
        <v>134</v>
      </c>
      <c r="I344" s="49"/>
      <c r="J344" s="47">
        <v>-11000</v>
      </c>
      <c r="N344">
        <v>0</v>
      </c>
      <c r="Q344" s="49"/>
      <c r="R344" s="49" t="str">
        <f>DataTable[HLD_Portfolio]&amp;DataTable[HLD_Date]</f>
        <v>SCBTMFPLUS43381</v>
      </c>
    </row>
    <row r="345" spans="1:18" x14ac:dyDescent="0.2">
      <c r="A345" s="49">
        <v>43381</v>
      </c>
      <c r="B345" t="s">
        <v>144</v>
      </c>
      <c r="C345" t="s">
        <v>132</v>
      </c>
      <c r="D345" t="s">
        <v>134</v>
      </c>
      <c r="E345" t="s">
        <v>134</v>
      </c>
      <c r="F345" t="s">
        <v>134</v>
      </c>
      <c r="I345" s="49"/>
      <c r="J345" s="47">
        <v>-24986.14</v>
      </c>
      <c r="N345">
        <v>0</v>
      </c>
      <c r="Q345" s="49"/>
      <c r="R345" s="49" t="str">
        <f>DataTable[HLD_Portfolio]&amp;DataTable[HLD_Date]</f>
        <v>SCBTMFPLUS43381</v>
      </c>
    </row>
    <row r="346" spans="1:18" x14ac:dyDescent="0.2">
      <c r="A346" s="49">
        <v>43381</v>
      </c>
      <c r="B346" t="s">
        <v>144</v>
      </c>
      <c r="C346" t="s">
        <v>132</v>
      </c>
      <c r="D346" t="s">
        <v>135</v>
      </c>
      <c r="I346" s="49"/>
      <c r="J346" s="47">
        <v>-61485.279999999999</v>
      </c>
      <c r="K346">
        <v>0</v>
      </c>
      <c r="N346">
        <v>0</v>
      </c>
      <c r="Q346" s="49"/>
      <c r="R346" s="49" t="str">
        <f>DataTable[HLD_Portfolio]&amp;DataTable[HLD_Date]</f>
        <v>SCBTMFPLUS43381</v>
      </c>
    </row>
    <row r="347" spans="1:18" x14ac:dyDescent="0.2">
      <c r="A347" s="49">
        <v>43381</v>
      </c>
      <c r="B347" t="s">
        <v>144</v>
      </c>
      <c r="C347" t="s">
        <v>132</v>
      </c>
      <c r="D347" t="s">
        <v>137</v>
      </c>
      <c r="E347" t="s">
        <v>137</v>
      </c>
      <c r="I347" s="49"/>
      <c r="J347" s="47">
        <v>-47648.63</v>
      </c>
      <c r="L347">
        <v>-47648.63</v>
      </c>
      <c r="N347">
        <v>0</v>
      </c>
      <c r="Q347" s="49"/>
      <c r="R347" s="49" t="str">
        <f>DataTable[HLD_Portfolio]&amp;DataTable[HLD_Date]</f>
        <v>SCBTMFPLUS43381</v>
      </c>
    </row>
    <row r="348" spans="1:18" x14ac:dyDescent="0.2">
      <c r="A348" s="49">
        <v>43381</v>
      </c>
      <c r="B348" t="s">
        <v>144</v>
      </c>
      <c r="C348" t="s">
        <v>132</v>
      </c>
      <c r="D348" t="s">
        <v>138</v>
      </c>
      <c r="E348" t="s">
        <v>138</v>
      </c>
      <c r="I348" s="49"/>
      <c r="J348" s="47">
        <v>-326629.8</v>
      </c>
      <c r="L348">
        <v>-326629.8</v>
      </c>
      <c r="N348">
        <v>0</v>
      </c>
      <c r="Q348" s="49"/>
      <c r="R348" s="49" t="str">
        <f>DataTable[HLD_Portfolio]&amp;DataTable[HLD_Date]</f>
        <v>SCBTMFPLUS43381</v>
      </c>
    </row>
    <row r="349" spans="1:18" x14ac:dyDescent="0.2">
      <c r="A349" s="49">
        <v>43381</v>
      </c>
      <c r="B349" t="s">
        <v>144</v>
      </c>
      <c r="C349" t="s">
        <v>140</v>
      </c>
      <c r="D349" t="s">
        <v>137</v>
      </c>
      <c r="E349" t="s">
        <v>137</v>
      </c>
      <c r="I349" s="49"/>
      <c r="J349" s="47">
        <v>-29192.3</v>
      </c>
      <c r="L349">
        <v>-29192.3</v>
      </c>
      <c r="N349">
        <v>0</v>
      </c>
      <c r="Q349" s="49"/>
      <c r="R349" s="49" t="str">
        <f>DataTable[HLD_Portfolio]&amp;DataTable[HLD_Date]</f>
        <v>SCBTMFPLUS43381</v>
      </c>
    </row>
    <row r="350" spans="1:18" x14ac:dyDescent="0.2">
      <c r="A350" s="49">
        <v>43381</v>
      </c>
      <c r="B350" t="s">
        <v>144</v>
      </c>
      <c r="C350" t="s">
        <v>140</v>
      </c>
      <c r="D350" t="s">
        <v>138</v>
      </c>
      <c r="E350" t="s">
        <v>138</v>
      </c>
      <c r="I350" s="49"/>
      <c r="J350" s="47">
        <v>-200149.16</v>
      </c>
      <c r="L350">
        <v>-200149.16</v>
      </c>
      <c r="N350">
        <v>0</v>
      </c>
      <c r="Q350" s="49"/>
      <c r="R350" s="49" t="str">
        <f>DataTable[HLD_Portfolio]&amp;DataTable[HLD_Date]</f>
        <v>SCBTMFPLUS43381</v>
      </c>
    </row>
    <row r="351" spans="1:18" x14ac:dyDescent="0.2">
      <c r="A351" s="49">
        <v>43381</v>
      </c>
      <c r="B351" t="s">
        <v>385</v>
      </c>
      <c r="C351" t="s">
        <v>18</v>
      </c>
      <c r="D351" t="s">
        <v>19</v>
      </c>
      <c r="F351" t="s">
        <v>145</v>
      </c>
      <c r="G351" t="s">
        <v>146</v>
      </c>
      <c r="I351" s="49"/>
      <c r="J351" s="47">
        <v>0</v>
      </c>
      <c r="L351">
        <v>0</v>
      </c>
      <c r="M351">
        <v>0</v>
      </c>
      <c r="N351">
        <v>0</v>
      </c>
      <c r="O351" t="s">
        <v>22</v>
      </c>
      <c r="P351" t="s">
        <v>147</v>
      </c>
      <c r="Q351" s="49">
        <v>2</v>
      </c>
      <c r="R351" s="49" t="str">
        <f>DataTable[HLD_Portfolio]&amp;DataTable[HLD_Date]</f>
        <v>SCBRF43381</v>
      </c>
    </row>
    <row r="352" spans="1:18" x14ac:dyDescent="0.2">
      <c r="A352" s="49">
        <v>43381</v>
      </c>
      <c r="B352" t="s">
        <v>385</v>
      </c>
      <c r="C352" t="s">
        <v>18</v>
      </c>
      <c r="D352" t="s">
        <v>19</v>
      </c>
      <c r="F352" t="s">
        <v>25</v>
      </c>
      <c r="G352" t="s">
        <v>26</v>
      </c>
      <c r="H352" t="s">
        <v>27</v>
      </c>
      <c r="I352" s="49"/>
      <c r="J352" s="47">
        <v>0</v>
      </c>
      <c r="L352">
        <v>0</v>
      </c>
      <c r="M352">
        <v>0</v>
      </c>
      <c r="N352">
        <v>0</v>
      </c>
      <c r="O352" t="s">
        <v>22</v>
      </c>
      <c r="P352" t="s">
        <v>28</v>
      </c>
      <c r="Q352" s="49">
        <v>2</v>
      </c>
      <c r="R352" s="49" t="str">
        <f>DataTable[HLD_Portfolio]&amp;DataTable[HLD_Date]</f>
        <v>SCBRF43381</v>
      </c>
    </row>
    <row r="353" spans="1:18" x14ac:dyDescent="0.2">
      <c r="A353" s="49">
        <v>43381</v>
      </c>
      <c r="B353" t="s">
        <v>385</v>
      </c>
      <c r="C353" t="s">
        <v>18</v>
      </c>
      <c r="D353" t="s">
        <v>19</v>
      </c>
      <c r="F353" t="s">
        <v>36</v>
      </c>
      <c r="G353" t="s">
        <v>26</v>
      </c>
      <c r="H353" t="s">
        <v>27</v>
      </c>
      <c r="I353" s="49"/>
      <c r="J353" s="47">
        <v>0</v>
      </c>
      <c r="L353">
        <v>0</v>
      </c>
      <c r="M353">
        <v>0</v>
      </c>
      <c r="N353">
        <v>0</v>
      </c>
      <c r="O353" t="s">
        <v>22</v>
      </c>
      <c r="P353" t="s">
        <v>37</v>
      </c>
      <c r="Q353" s="49">
        <v>2</v>
      </c>
      <c r="R353" s="49" t="str">
        <f>DataTable[HLD_Portfolio]&amp;DataTable[HLD_Date]</f>
        <v>SCBRF43381</v>
      </c>
    </row>
    <row r="354" spans="1:18" x14ac:dyDescent="0.2">
      <c r="A354" s="49">
        <v>43381</v>
      </c>
      <c r="B354" t="s">
        <v>385</v>
      </c>
      <c r="C354" t="s">
        <v>18</v>
      </c>
      <c r="D354" t="s">
        <v>19</v>
      </c>
      <c r="F354" t="s">
        <v>20</v>
      </c>
      <c r="G354" t="s">
        <v>21</v>
      </c>
      <c r="I354" s="49"/>
      <c r="J354" s="47">
        <v>794271.84</v>
      </c>
      <c r="K354">
        <v>835.32</v>
      </c>
      <c r="L354">
        <v>794271.84</v>
      </c>
      <c r="M354">
        <v>0</v>
      </c>
      <c r="N354">
        <v>0</v>
      </c>
      <c r="O354" t="s">
        <v>22</v>
      </c>
      <c r="P354" t="s">
        <v>23</v>
      </c>
      <c r="Q354" s="49">
        <v>2</v>
      </c>
      <c r="R354" s="49" t="str">
        <f>DataTable[HLD_Portfolio]&amp;DataTable[HLD_Date]</f>
        <v>SCBRF43381</v>
      </c>
    </row>
    <row r="355" spans="1:18" x14ac:dyDescent="0.2">
      <c r="A355" s="49">
        <v>43381</v>
      </c>
      <c r="B355" t="s">
        <v>385</v>
      </c>
      <c r="C355" t="s">
        <v>18</v>
      </c>
      <c r="D355" t="s">
        <v>38</v>
      </c>
      <c r="F355" t="s">
        <v>539</v>
      </c>
      <c r="G355" t="s">
        <v>71</v>
      </c>
      <c r="H355" t="s">
        <v>47</v>
      </c>
      <c r="I355" s="49">
        <v>44196</v>
      </c>
      <c r="J355" s="47">
        <v>195888.14</v>
      </c>
      <c r="K355">
        <v>426.66</v>
      </c>
      <c r="L355">
        <v>195888.14</v>
      </c>
      <c r="M355">
        <v>0</v>
      </c>
      <c r="N355">
        <v>0</v>
      </c>
      <c r="O355" t="s">
        <v>42</v>
      </c>
      <c r="P355" t="s">
        <v>23</v>
      </c>
      <c r="Q355" s="49">
        <v>38728</v>
      </c>
      <c r="R355" s="49" t="str">
        <f>DataTable[HLD_Portfolio]&amp;DataTable[HLD_Date]</f>
        <v>SCBRF43381</v>
      </c>
    </row>
    <row r="356" spans="1:18" x14ac:dyDescent="0.2">
      <c r="A356" s="49">
        <v>43381</v>
      </c>
      <c r="B356" t="s">
        <v>385</v>
      </c>
      <c r="C356" t="s">
        <v>18</v>
      </c>
      <c r="D356" t="s">
        <v>38</v>
      </c>
      <c r="F356" t="s">
        <v>540</v>
      </c>
      <c r="G356" t="s">
        <v>73</v>
      </c>
      <c r="H356" t="s">
        <v>27</v>
      </c>
      <c r="I356" s="49">
        <v>44196</v>
      </c>
      <c r="J356" s="47">
        <v>43832.959999999999</v>
      </c>
      <c r="K356">
        <v>45.03</v>
      </c>
      <c r="L356">
        <v>43832.959999999999</v>
      </c>
      <c r="M356">
        <v>0</v>
      </c>
      <c r="N356">
        <v>0</v>
      </c>
      <c r="O356" t="s">
        <v>42</v>
      </c>
      <c r="P356" t="s">
        <v>23</v>
      </c>
      <c r="Q356" s="49">
        <v>39535</v>
      </c>
      <c r="R356" s="49" t="str">
        <f>DataTable[HLD_Portfolio]&amp;DataTable[HLD_Date]</f>
        <v>SCBRF43381</v>
      </c>
    </row>
    <row r="357" spans="1:18" x14ac:dyDescent="0.2">
      <c r="A357" s="49">
        <v>43381</v>
      </c>
      <c r="B357" t="s">
        <v>385</v>
      </c>
      <c r="C357" t="s">
        <v>18</v>
      </c>
      <c r="D357" t="s">
        <v>38</v>
      </c>
      <c r="F357" t="s">
        <v>541</v>
      </c>
      <c r="G357" t="s">
        <v>75</v>
      </c>
      <c r="H357" t="s">
        <v>59</v>
      </c>
      <c r="I357" s="49">
        <v>44196</v>
      </c>
      <c r="J357" s="47">
        <v>14034247.109999999</v>
      </c>
      <c r="K357">
        <v>24068.38</v>
      </c>
      <c r="L357">
        <v>14034247.109999999</v>
      </c>
      <c r="M357">
        <v>0</v>
      </c>
      <c r="N357">
        <v>0</v>
      </c>
      <c r="O357" t="s">
        <v>42</v>
      </c>
      <c r="P357" t="s">
        <v>23</v>
      </c>
      <c r="Q357" s="49">
        <v>38596</v>
      </c>
      <c r="R357" s="49" t="str">
        <f>DataTable[HLD_Portfolio]&amp;DataTable[HLD_Date]</f>
        <v>SCBRF43381</v>
      </c>
    </row>
    <row r="358" spans="1:18" x14ac:dyDescent="0.2">
      <c r="A358" s="49">
        <v>43381</v>
      </c>
      <c r="B358" t="s">
        <v>385</v>
      </c>
      <c r="C358" t="s">
        <v>18</v>
      </c>
      <c r="D358" t="s">
        <v>77</v>
      </c>
      <c r="F358" t="s">
        <v>542</v>
      </c>
      <c r="G358" t="s">
        <v>543</v>
      </c>
      <c r="I358" s="49">
        <v>44196</v>
      </c>
      <c r="J358" s="47">
        <v>24185.75</v>
      </c>
      <c r="L358">
        <v>0</v>
      </c>
      <c r="N358">
        <v>0</v>
      </c>
      <c r="O358" t="s">
        <v>42</v>
      </c>
      <c r="P358" t="s">
        <v>23</v>
      </c>
      <c r="Q358" s="49">
        <v>43024</v>
      </c>
      <c r="R358" s="49" t="str">
        <f>DataTable[HLD_Portfolio]&amp;DataTable[HLD_Date]</f>
        <v>SCBRF43381</v>
      </c>
    </row>
    <row r="359" spans="1:18" x14ac:dyDescent="0.2">
      <c r="A359" s="49">
        <v>43381</v>
      </c>
      <c r="B359" t="s">
        <v>385</v>
      </c>
      <c r="C359" t="s">
        <v>18</v>
      </c>
      <c r="D359" t="s">
        <v>89</v>
      </c>
      <c r="F359" t="s">
        <v>97</v>
      </c>
      <c r="G359" t="s">
        <v>91</v>
      </c>
      <c r="I359" s="49">
        <v>43419</v>
      </c>
      <c r="J359" s="47">
        <v>4994076.9000000004</v>
      </c>
      <c r="L359">
        <v>4994076.9000000004</v>
      </c>
      <c r="M359">
        <v>0.10124900000000001</v>
      </c>
      <c r="N359">
        <v>1.17</v>
      </c>
      <c r="O359" t="s">
        <v>42</v>
      </c>
      <c r="P359" t="s">
        <v>23</v>
      </c>
      <c r="Q359" s="49">
        <v>43237</v>
      </c>
      <c r="R359" s="49" t="str">
        <f>DataTable[HLD_Portfolio]&amp;DataTable[HLD_Date]</f>
        <v>SCBRF43381</v>
      </c>
    </row>
    <row r="360" spans="1:18" x14ac:dyDescent="0.2">
      <c r="A360" s="49">
        <v>43381</v>
      </c>
      <c r="B360" t="s">
        <v>385</v>
      </c>
      <c r="C360" t="s">
        <v>18</v>
      </c>
      <c r="D360" t="s">
        <v>89</v>
      </c>
      <c r="F360" t="s">
        <v>104</v>
      </c>
      <c r="G360" t="s">
        <v>91</v>
      </c>
      <c r="I360" s="49">
        <v>43384</v>
      </c>
      <c r="J360" s="47">
        <v>19998739.800000001</v>
      </c>
      <c r="L360">
        <v>19998739.800000001</v>
      </c>
      <c r="M360">
        <v>5.4790000000000004E-3</v>
      </c>
      <c r="N360">
        <v>1.1499999999999999</v>
      </c>
      <c r="O360" t="s">
        <v>42</v>
      </c>
      <c r="P360" t="s">
        <v>23</v>
      </c>
      <c r="Q360" s="49">
        <v>43202</v>
      </c>
      <c r="R360" s="49" t="str">
        <f>DataTable[HLD_Portfolio]&amp;DataTable[HLD_Date]</f>
        <v>SCBRF43381</v>
      </c>
    </row>
    <row r="361" spans="1:18" x14ac:dyDescent="0.2">
      <c r="A361" s="49">
        <v>43381</v>
      </c>
      <c r="B361" t="s">
        <v>385</v>
      </c>
      <c r="C361" t="s">
        <v>18</v>
      </c>
      <c r="D361" t="s">
        <v>89</v>
      </c>
      <c r="F361" t="s">
        <v>110</v>
      </c>
      <c r="G361" t="s">
        <v>91</v>
      </c>
      <c r="I361" s="49">
        <v>43398</v>
      </c>
      <c r="J361" s="47">
        <v>9995049</v>
      </c>
      <c r="L361">
        <v>9995049</v>
      </c>
      <c r="M361">
        <v>4.3812999999999998E-2</v>
      </c>
      <c r="N361">
        <v>1.1299999999999999</v>
      </c>
      <c r="O361" t="s">
        <v>42</v>
      </c>
      <c r="P361" t="s">
        <v>23</v>
      </c>
      <c r="Q361" s="49">
        <v>43307</v>
      </c>
      <c r="R361" s="49" t="str">
        <f>DataTable[HLD_Portfolio]&amp;DataTable[HLD_Date]</f>
        <v>SCBRF43381</v>
      </c>
    </row>
    <row r="362" spans="1:18" x14ac:dyDescent="0.2">
      <c r="A362" s="49">
        <v>43381</v>
      </c>
      <c r="B362" t="s">
        <v>385</v>
      </c>
      <c r="C362" t="s">
        <v>18</v>
      </c>
      <c r="D362" t="s">
        <v>115</v>
      </c>
      <c r="F362" t="s">
        <v>544</v>
      </c>
      <c r="G362" t="s">
        <v>87</v>
      </c>
      <c r="H362" t="s">
        <v>29</v>
      </c>
      <c r="I362" s="49">
        <v>43392</v>
      </c>
      <c r="J362" s="47">
        <v>4001638.44</v>
      </c>
      <c r="K362">
        <v>56876.72</v>
      </c>
      <c r="L362">
        <v>4001428.24</v>
      </c>
      <c r="M362">
        <v>2.7234000000000001E-2</v>
      </c>
      <c r="N362">
        <v>1.53</v>
      </c>
      <c r="O362" t="s">
        <v>42</v>
      </c>
      <c r="P362" t="s">
        <v>23</v>
      </c>
      <c r="Q362" s="49">
        <v>42296</v>
      </c>
      <c r="R362" s="49" t="str">
        <f>DataTable[HLD_Portfolio]&amp;DataTable[HLD_Date]</f>
        <v>SCBRF43381</v>
      </c>
    </row>
    <row r="363" spans="1:18" x14ac:dyDescent="0.2">
      <c r="A363" s="49">
        <v>43381</v>
      </c>
      <c r="B363" t="s">
        <v>385</v>
      </c>
      <c r="C363" t="s">
        <v>18</v>
      </c>
      <c r="D363" t="s">
        <v>112</v>
      </c>
      <c r="F363" t="s">
        <v>545</v>
      </c>
      <c r="G363" t="s">
        <v>546</v>
      </c>
      <c r="I363" s="49">
        <v>43959</v>
      </c>
      <c r="J363" s="47">
        <v>9972913.9000000004</v>
      </c>
      <c r="K363">
        <v>102947.9</v>
      </c>
      <c r="L363">
        <v>10000000</v>
      </c>
      <c r="M363">
        <v>1.526346</v>
      </c>
      <c r="N363">
        <v>2.44</v>
      </c>
      <c r="O363" t="s">
        <v>42</v>
      </c>
      <c r="P363" t="s">
        <v>23</v>
      </c>
      <c r="Q363" s="49">
        <v>42863</v>
      </c>
      <c r="R363" s="49" t="str">
        <f>DataTable[HLD_Portfolio]&amp;DataTable[HLD_Date]</f>
        <v>SCBRF43381</v>
      </c>
    </row>
    <row r="364" spans="1:18" x14ac:dyDescent="0.2">
      <c r="A364" s="49">
        <v>43381</v>
      </c>
      <c r="B364" t="s">
        <v>385</v>
      </c>
      <c r="C364" t="s">
        <v>18</v>
      </c>
      <c r="D364" t="s">
        <v>112</v>
      </c>
      <c r="F364" t="s">
        <v>547</v>
      </c>
      <c r="G364" t="s">
        <v>548</v>
      </c>
      <c r="H364" t="s">
        <v>47</v>
      </c>
      <c r="I364" s="49">
        <v>44109</v>
      </c>
      <c r="J364" s="47">
        <v>4982304.05</v>
      </c>
      <c r="K364">
        <v>1249.3</v>
      </c>
      <c r="L364">
        <v>5000000</v>
      </c>
      <c r="M364">
        <v>1.9302490000000001</v>
      </c>
      <c r="N364">
        <v>2.2799999999999998</v>
      </c>
      <c r="O364" t="s">
        <v>42</v>
      </c>
      <c r="P364" t="s">
        <v>23</v>
      </c>
      <c r="Q364" s="49">
        <v>43013</v>
      </c>
      <c r="R364" s="49" t="str">
        <f>DataTable[HLD_Portfolio]&amp;DataTable[HLD_Date]</f>
        <v>SCBRF43381</v>
      </c>
    </row>
    <row r="365" spans="1:18" x14ac:dyDescent="0.2">
      <c r="A365" s="49">
        <v>43381</v>
      </c>
      <c r="B365" t="s">
        <v>385</v>
      </c>
      <c r="C365" t="s">
        <v>18</v>
      </c>
      <c r="D365" t="s">
        <v>112</v>
      </c>
      <c r="F365" t="s">
        <v>549</v>
      </c>
      <c r="G365" t="s">
        <v>195</v>
      </c>
      <c r="H365" t="s">
        <v>51</v>
      </c>
      <c r="I365" s="49">
        <v>44287</v>
      </c>
      <c r="J365" s="47">
        <v>14936792.779999999</v>
      </c>
      <c r="K365">
        <v>16569.84</v>
      </c>
      <c r="L365">
        <v>14711646.039999999</v>
      </c>
      <c r="M365">
        <v>2.323299</v>
      </c>
      <c r="N365">
        <v>3.25</v>
      </c>
      <c r="O365" t="s">
        <v>42</v>
      </c>
      <c r="P365" t="s">
        <v>23</v>
      </c>
      <c r="Q365" s="49">
        <v>40634</v>
      </c>
      <c r="R365" s="49" t="str">
        <f>DataTable[HLD_Portfolio]&amp;DataTable[HLD_Date]</f>
        <v>SCBRF43381</v>
      </c>
    </row>
    <row r="366" spans="1:18" x14ac:dyDescent="0.2">
      <c r="A366" s="49">
        <v>43381</v>
      </c>
      <c r="B366" t="s">
        <v>385</v>
      </c>
      <c r="C366" t="s">
        <v>18</v>
      </c>
      <c r="D366" t="s">
        <v>112</v>
      </c>
      <c r="F366" t="s">
        <v>550</v>
      </c>
      <c r="G366" t="s">
        <v>195</v>
      </c>
      <c r="H366" t="s">
        <v>51</v>
      </c>
      <c r="I366" s="49">
        <v>45477</v>
      </c>
      <c r="J366" s="47">
        <v>10650108.6</v>
      </c>
      <c r="K366">
        <v>127561.60000000001</v>
      </c>
      <c r="L366">
        <v>11000916</v>
      </c>
      <c r="M366">
        <v>4.9625069999999996</v>
      </c>
      <c r="N366">
        <v>2.89</v>
      </c>
      <c r="O366" t="s">
        <v>42</v>
      </c>
      <c r="P366" t="s">
        <v>23</v>
      </c>
      <c r="Q366" s="49">
        <v>41824</v>
      </c>
      <c r="R366" s="49" t="str">
        <f>DataTable[HLD_Portfolio]&amp;DataTable[HLD_Date]</f>
        <v>SCBRF43381</v>
      </c>
    </row>
    <row r="367" spans="1:18" x14ac:dyDescent="0.2">
      <c r="A367" s="49">
        <v>43381</v>
      </c>
      <c r="B367" t="s">
        <v>385</v>
      </c>
      <c r="C367" t="s">
        <v>18</v>
      </c>
      <c r="D367" t="s">
        <v>112</v>
      </c>
      <c r="F367" t="s">
        <v>551</v>
      </c>
      <c r="G367" t="s">
        <v>195</v>
      </c>
      <c r="H367" t="s">
        <v>51</v>
      </c>
      <c r="I367" s="49">
        <v>46498</v>
      </c>
      <c r="J367" s="47">
        <v>10405394.4</v>
      </c>
      <c r="K367">
        <v>195361.63</v>
      </c>
      <c r="L367">
        <v>10483160.699999999</v>
      </c>
      <c r="M367">
        <v>7.1763750000000002</v>
      </c>
      <c r="N367">
        <v>3.51</v>
      </c>
      <c r="O367" t="s">
        <v>42</v>
      </c>
      <c r="P367" t="s">
        <v>23</v>
      </c>
      <c r="Q367" s="49">
        <v>42846</v>
      </c>
      <c r="R367" s="49" t="str">
        <f>DataTable[HLD_Portfolio]&amp;DataTable[HLD_Date]</f>
        <v>SCBRF43381</v>
      </c>
    </row>
    <row r="368" spans="1:18" x14ac:dyDescent="0.2">
      <c r="A368" s="49">
        <v>43381</v>
      </c>
      <c r="B368" t="s">
        <v>385</v>
      </c>
      <c r="C368" t="s">
        <v>18</v>
      </c>
      <c r="D368" t="s">
        <v>112</v>
      </c>
      <c r="F368" t="s">
        <v>552</v>
      </c>
      <c r="G368" t="s">
        <v>21</v>
      </c>
      <c r="H368" t="s">
        <v>320</v>
      </c>
      <c r="I368" s="49">
        <v>44138</v>
      </c>
      <c r="J368" s="47">
        <v>9892014.5999999996</v>
      </c>
      <c r="K368">
        <v>80589</v>
      </c>
      <c r="L368">
        <v>10000000</v>
      </c>
      <c r="M368">
        <v>1.9989060000000001</v>
      </c>
      <c r="N368">
        <v>1.85</v>
      </c>
      <c r="O368" t="s">
        <v>42</v>
      </c>
      <c r="P368" t="s">
        <v>23</v>
      </c>
      <c r="Q368" s="49">
        <v>43042</v>
      </c>
      <c r="R368" s="49" t="str">
        <f>DataTable[HLD_Portfolio]&amp;DataTable[HLD_Date]</f>
        <v>SCBRF43381</v>
      </c>
    </row>
    <row r="369" spans="1:18" x14ac:dyDescent="0.2">
      <c r="A369" s="49">
        <v>43381</v>
      </c>
      <c r="B369" t="s">
        <v>385</v>
      </c>
      <c r="C369" t="s">
        <v>18</v>
      </c>
      <c r="D369" t="s">
        <v>112</v>
      </c>
      <c r="F369" t="s">
        <v>553</v>
      </c>
      <c r="G369" t="s">
        <v>554</v>
      </c>
      <c r="H369" t="s">
        <v>47</v>
      </c>
      <c r="I369" s="49">
        <v>45021</v>
      </c>
      <c r="J369" s="47">
        <v>42740698.439999998</v>
      </c>
      <c r="K369">
        <v>11861.96</v>
      </c>
      <c r="L369">
        <v>44000000</v>
      </c>
      <c r="M369">
        <v>4.2049690000000002</v>
      </c>
      <c r="N369">
        <v>2.46</v>
      </c>
      <c r="O369" t="s">
        <v>42</v>
      </c>
      <c r="P369" t="s">
        <v>23</v>
      </c>
      <c r="Q369" s="49">
        <v>43195</v>
      </c>
      <c r="R369" s="49" t="str">
        <f>DataTable[HLD_Portfolio]&amp;DataTable[HLD_Date]</f>
        <v>SCBRF43381</v>
      </c>
    </row>
    <row r="370" spans="1:18" x14ac:dyDescent="0.2">
      <c r="A370" s="49">
        <v>43381</v>
      </c>
      <c r="B370" t="s">
        <v>385</v>
      </c>
      <c r="C370" t="s">
        <v>18</v>
      </c>
      <c r="D370" t="s">
        <v>112</v>
      </c>
      <c r="F370" t="s">
        <v>555</v>
      </c>
      <c r="G370" t="s">
        <v>258</v>
      </c>
      <c r="H370" t="s">
        <v>51</v>
      </c>
      <c r="I370" s="49">
        <v>44446</v>
      </c>
      <c r="J370" s="47">
        <v>10554887.57</v>
      </c>
      <c r="K370">
        <v>24998.62</v>
      </c>
      <c r="L370">
        <v>10802186.199999999</v>
      </c>
      <c r="M370">
        <v>2.770721</v>
      </c>
      <c r="N370">
        <v>2.0150000000000001</v>
      </c>
      <c r="O370" t="s">
        <v>42</v>
      </c>
      <c r="P370" t="s">
        <v>23</v>
      </c>
      <c r="Q370" s="49">
        <v>42620</v>
      </c>
      <c r="R370" s="49" t="str">
        <f>DataTable[HLD_Portfolio]&amp;DataTable[HLD_Date]</f>
        <v>SCBRF43381</v>
      </c>
    </row>
    <row r="371" spans="1:18" x14ac:dyDescent="0.2">
      <c r="A371" s="49">
        <v>43381</v>
      </c>
      <c r="B371" t="s">
        <v>385</v>
      </c>
      <c r="C371" t="s">
        <v>18</v>
      </c>
      <c r="D371" t="s">
        <v>112</v>
      </c>
      <c r="F371" t="s">
        <v>556</v>
      </c>
      <c r="G371" t="s">
        <v>258</v>
      </c>
      <c r="H371" t="s">
        <v>51</v>
      </c>
      <c r="I371" s="49">
        <v>45176</v>
      </c>
      <c r="J371" s="47">
        <v>1992386.58</v>
      </c>
      <c r="K371">
        <v>5383.02</v>
      </c>
      <c r="L371">
        <v>2030339.18</v>
      </c>
      <c r="M371">
        <v>4.5094430000000001</v>
      </c>
      <c r="N371">
        <v>2.74</v>
      </c>
      <c r="O371" t="s">
        <v>42</v>
      </c>
      <c r="P371" t="s">
        <v>23</v>
      </c>
      <c r="Q371" s="49">
        <v>42620</v>
      </c>
      <c r="R371" s="49" t="str">
        <f>DataTable[HLD_Portfolio]&amp;DataTable[HLD_Date]</f>
        <v>SCBRF43381</v>
      </c>
    </row>
    <row r="372" spans="1:18" x14ac:dyDescent="0.2">
      <c r="A372" s="49">
        <v>43381</v>
      </c>
      <c r="B372" t="s">
        <v>385</v>
      </c>
      <c r="C372" t="s">
        <v>18</v>
      </c>
      <c r="D372" t="s">
        <v>112</v>
      </c>
      <c r="F372" t="s">
        <v>557</v>
      </c>
      <c r="G372" t="s">
        <v>260</v>
      </c>
      <c r="H372" t="s">
        <v>47</v>
      </c>
      <c r="I372" s="49">
        <v>44341</v>
      </c>
      <c r="J372" s="47">
        <v>14897343.449999999</v>
      </c>
      <c r="K372">
        <v>129493.2</v>
      </c>
      <c r="L372">
        <v>15000000</v>
      </c>
      <c r="M372">
        <v>2.5121509999999998</v>
      </c>
      <c r="N372">
        <v>2.2999999999999998</v>
      </c>
      <c r="O372" t="s">
        <v>42</v>
      </c>
      <c r="P372" t="s">
        <v>23</v>
      </c>
      <c r="Q372" s="49">
        <v>42515</v>
      </c>
      <c r="R372" s="49" t="str">
        <f>DataTable[HLD_Portfolio]&amp;DataTable[HLD_Date]</f>
        <v>SCBRF43381</v>
      </c>
    </row>
    <row r="373" spans="1:18" x14ac:dyDescent="0.2">
      <c r="A373" s="49">
        <v>43381</v>
      </c>
      <c r="B373" t="s">
        <v>385</v>
      </c>
      <c r="C373" t="s">
        <v>18</v>
      </c>
      <c r="D373" t="s">
        <v>112</v>
      </c>
      <c r="F373" t="s">
        <v>558</v>
      </c>
      <c r="G373" t="s">
        <v>260</v>
      </c>
      <c r="H373" t="s">
        <v>47</v>
      </c>
      <c r="I373" s="49">
        <v>44763</v>
      </c>
      <c r="J373" s="47">
        <v>7015652.2800000003</v>
      </c>
      <c r="K373">
        <v>45260.25</v>
      </c>
      <c r="L373">
        <v>7000000</v>
      </c>
      <c r="M373">
        <v>3.5365639999999998</v>
      </c>
      <c r="N373">
        <v>2.95</v>
      </c>
      <c r="O373" t="s">
        <v>42</v>
      </c>
      <c r="P373" t="s">
        <v>23</v>
      </c>
      <c r="Q373" s="49">
        <v>42937</v>
      </c>
      <c r="R373" s="49" t="str">
        <f>DataTable[HLD_Portfolio]&amp;DataTable[HLD_Date]</f>
        <v>SCBRF43381</v>
      </c>
    </row>
    <row r="374" spans="1:18" x14ac:dyDescent="0.2">
      <c r="A374" s="49">
        <v>43381</v>
      </c>
      <c r="B374" t="s">
        <v>385</v>
      </c>
      <c r="C374" t="s">
        <v>18</v>
      </c>
      <c r="D374" t="s">
        <v>112</v>
      </c>
      <c r="F374" t="s">
        <v>559</v>
      </c>
      <c r="G374" t="s">
        <v>260</v>
      </c>
      <c r="H374" t="s">
        <v>47</v>
      </c>
      <c r="I374" s="49">
        <v>45013</v>
      </c>
      <c r="J374" s="47">
        <v>10749337.939999999</v>
      </c>
      <c r="K374">
        <v>8353.9500000000007</v>
      </c>
      <c r="L374">
        <v>11000000</v>
      </c>
      <c r="M374">
        <v>4.1807819999999998</v>
      </c>
      <c r="N374">
        <v>2.52</v>
      </c>
      <c r="O374" t="s">
        <v>42</v>
      </c>
      <c r="P374" t="s">
        <v>23</v>
      </c>
      <c r="Q374" s="49">
        <v>43187</v>
      </c>
      <c r="R374" s="49" t="str">
        <f>DataTable[HLD_Portfolio]&amp;DataTable[HLD_Date]</f>
        <v>SCBRF43381</v>
      </c>
    </row>
    <row r="375" spans="1:18" x14ac:dyDescent="0.2">
      <c r="A375" s="49">
        <v>43381</v>
      </c>
      <c r="B375" t="s">
        <v>385</v>
      </c>
      <c r="C375" t="s">
        <v>18</v>
      </c>
      <c r="D375" t="s">
        <v>112</v>
      </c>
      <c r="F375" t="s">
        <v>560</v>
      </c>
      <c r="G375" t="s">
        <v>561</v>
      </c>
      <c r="H375" t="s">
        <v>47</v>
      </c>
      <c r="I375" s="49">
        <v>43779</v>
      </c>
      <c r="J375" s="47">
        <v>25132162</v>
      </c>
      <c r="K375">
        <v>256109.5</v>
      </c>
      <c r="L375">
        <v>25182295.75</v>
      </c>
      <c r="M375">
        <v>1.0592330000000001</v>
      </c>
      <c r="N375">
        <v>1.77</v>
      </c>
      <c r="O375" t="s">
        <v>42</v>
      </c>
      <c r="P375" t="s">
        <v>23</v>
      </c>
      <c r="Q375" s="49">
        <v>42684</v>
      </c>
      <c r="R375" s="49" t="str">
        <f>DataTable[HLD_Portfolio]&amp;DataTable[HLD_Date]</f>
        <v>SCBRF43381</v>
      </c>
    </row>
    <row r="376" spans="1:18" x14ac:dyDescent="0.2">
      <c r="A376" s="49">
        <v>43381</v>
      </c>
      <c r="B376" t="s">
        <v>385</v>
      </c>
      <c r="C376" t="s">
        <v>18</v>
      </c>
      <c r="D376" t="s">
        <v>112</v>
      </c>
      <c r="F376" t="s">
        <v>562</v>
      </c>
      <c r="G376" t="s">
        <v>197</v>
      </c>
      <c r="H376" t="s">
        <v>47</v>
      </c>
      <c r="I376" s="49">
        <v>44191</v>
      </c>
      <c r="J376" s="47">
        <v>20854820.91</v>
      </c>
      <c r="K376">
        <v>135320.64000000001</v>
      </c>
      <c r="L376">
        <v>21000000</v>
      </c>
      <c r="M376">
        <v>2.1313840000000002</v>
      </c>
      <c r="N376">
        <v>2.2400000000000002</v>
      </c>
      <c r="O376" t="s">
        <v>42</v>
      </c>
      <c r="P376" t="s">
        <v>23</v>
      </c>
      <c r="Q376" s="49">
        <v>43095</v>
      </c>
      <c r="R376" s="49" t="str">
        <f>DataTable[HLD_Portfolio]&amp;DataTable[HLD_Date]</f>
        <v>SCBRF43381</v>
      </c>
    </row>
    <row r="377" spans="1:18" x14ac:dyDescent="0.2">
      <c r="A377" s="49">
        <v>43381</v>
      </c>
      <c r="B377" t="s">
        <v>385</v>
      </c>
      <c r="C377" t="s">
        <v>18</v>
      </c>
      <c r="D377" t="s">
        <v>112</v>
      </c>
      <c r="F377" t="s">
        <v>563</v>
      </c>
      <c r="G377" t="s">
        <v>564</v>
      </c>
      <c r="H377" t="s">
        <v>126</v>
      </c>
      <c r="I377" s="49">
        <v>43997</v>
      </c>
      <c r="J377" s="47">
        <v>29867124.600000001</v>
      </c>
      <c r="K377">
        <v>212613.6</v>
      </c>
      <c r="L377">
        <v>30000000</v>
      </c>
      <c r="M377">
        <v>1.6302669999999999</v>
      </c>
      <c r="N377">
        <v>2.23</v>
      </c>
      <c r="O377" t="s">
        <v>42</v>
      </c>
      <c r="P377" t="s">
        <v>23</v>
      </c>
      <c r="Q377" s="49">
        <v>43266</v>
      </c>
      <c r="R377" s="49" t="str">
        <f>DataTable[HLD_Portfolio]&amp;DataTable[HLD_Date]</f>
        <v>SCBRF43381</v>
      </c>
    </row>
    <row r="378" spans="1:18" x14ac:dyDescent="0.2">
      <c r="A378" s="49">
        <v>43381</v>
      </c>
      <c r="B378" t="s">
        <v>385</v>
      </c>
      <c r="C378" t="s">
        <v>18</v>
      </c>
      <c r="D378" t="s">
        <v>112</v>
      </c>
      <c r="F378" t="s">
        <v>565</v>
      </c>
      <c r="G378" t="s">
        <v>566</v>
      </c>
      <c r="H378" t="s">
        <v>126</v>
      </c>
      <c r="I378" s="49">
        <v>44138</v>
      </c>
      <c r="J378" s="47">
        <v>10949066.92</v>
      </c>
      <c r="K378">
        <v>107335.91</v>
      </c>
      <c r="L378">
        <v>11039211.699999999</v>
      </c>
      <c r="M378">
        <v>1.9890209999999999</v>
      </c>
      <c r="N378">
        <v>2.058182</v>
      </c>
      <c r="O378" t="s">
        <v>42</v>
      </c>
      <c r="P378" t="s">
        <v>23</v>
      </c>
      <c r="Q378" s="49">
        <v>43042</v>
      </c>
      <c r="R378" s="49" t="str">
        <f>DataTable[HLD_Portfolio]&amp;DataTable[HLD_Date]</f>
        <v>SCBRF43381</v>
      </c>
    </row>
    <row r="379" spans="1:18" x14ac:dyDescent="0.2">
      <c r="A379" s="49">
        <v>43381</v>
      </c>
      <c r="B379" t="s">
        <v>385</v>
      </c>
      <c r="C379" t="s">
        <v>18</v>
      </c>
      <c r="D379" t="s">
        <v>112</v>
      </c>
      <c r="F379" t="s">
        <v>567</v>
      </c>
      <c r="G379" t="s">
        <v>199</v>
      </c>
      <c r="H379" t="s">
        <v>51</v>
      </c>
      <c r="I379" s="49">
        <v>44410</v>
      </c>
      <c r="J379" s="47">
        <v>10616023.4</v>
      </c>
      <c r="K379">
        <v>91287.7</v>
      </c>
      <c r="L379">
        <v>10754215.1</v>
      </c>
      <c r="M379">
        <v>2.6163630000000002</v>
      </c>
      <c r="N379">
        <v>2.12</v>
      </c>
      <c r="O379" t="s">
        <v>42</v>
      </c>
      <c r="P379" t="s">
        <v>23</v>
      </c>
      <c r="Q379" s="49">
        <v>41488</v>
      </c>
      <c r="R379" s="49" t="str">
        <f>DataTable[HLD_Portfolio]&amp;DataTable[HLD_Date]</f>
        <v>SCBRF43381</v>
      </c>
    </row>
    <row r="380" spans="1:18" x14ac:dyDescent="0.2">
      <c r="A380" s="49">
        <v>43381</v>
      </c>
      <c r="B380" t="s">
        <v>385</v>
      </c>
      <c r="C380" t="s">
        <v>18</v>
      </c>
      <c r="D380" t="s">
        <v>112</v>
      </c>
      <c r="F380" t="s">
        <v>568</v>
      </c>
      <c r="G380" t="s">
        <v>199</v>
      </c>
      <c r="H380" t="s">
        <v>51</v>
      </c>
      <c r="I380" s="49">
        <v>45681</v>
      </c>
      <c r="J380" s="47">
        <v>27544688.920000002</v>
      </c>
      <c r="K380">
        <v>180159</v>
      </c>
      <c r="L380">
        <v>28000000</v>
      </c>
      <c r="M380">
        <v>5.6386060000000002</v>
      </c>
      <c r="N380">
        <v>3.05</v>
      </c>
      <c r="O380" t="s">
        <v>42</v>
      </c>
      <c r="P380" t="s">
        <v>23</v>
      </c>
      <c r="Q380" s="49">
        <v>43124</v>
      </c>
      <c r="R380" s="49" t="str">
        <f>DataTable[HLD_Portfolio]&amp;DataTable[HLD_Date]</f>
        <v>SCBRF43381</v>
      </c>
    </row>
    <row r="381" spans="1:18" x14ac:dyDescent="0.2">
      <c r="A381" s="49">
        <v>43381</v>
      </c>
      <c r="B381" t="s">
        <v>385</v>
      </c>
      <c r="C381" t="s">
        <v>18</v>
      </c>
      <c r="D381" t="s">
        <v>112</v>
      </c>
      <c r="F381" t="s">
        <v>264</v>
      </c>
      <c r="G381" t="s">
        <v>263</v>
      </c>
      <c r="H381" t="s">
        <v>29</v>
      </c>
      <c r="I381" s="49">
        <v>44165</v>
      </c>
      <c r="J381" s="47">
        <v>7940548.0800000001</v>
      </c>
      <c r="K381">
        <v>89109.04</v>
      </c>
      <c r="L381">
        <v>8000000</v>
      </c>
      <c r="M381">
        <v>2.032489</v>
      </c>
      <c r="N381">
        <v>3.08</v>
      </c>
      <c r="O381" t="s">
        <v>42</v>
      </c>
      <c r="P381" t="s">
        <v>23</v>
      </c>
      <c r="Q381" s="49">
        <v>43069</v>
      </c>
      <c r="R381" s="49" t="str">
        <f>DataTable[HLD_Portfolio]&amp;DataTable[HLD_Date]</f>
        <v>SCBRF43381</v>
      </c>
    </row>
    <row r="382" spans="1:18" x14ac:dyDescent="0.2">
      <c r="A382" s="49">
        <v>43381</v>
      </c>
      <c r="B382" t="s">
        <v>385</v>
      </c>
      <c r="C382" t="s">
        <v>18</v>
      </c>
      <c r="D382" t="s">
        <v>112</v>
      </c>
      <c r="F382" t="s">
        <v>214</v>
      </c>
      <c r="G382" t="s">
        <v>215</v>
      </c>
      <c r="H382" t="s">
        <v>29</v>
      </c>
      <c r="I382" s="49">
        <v>43792</v>
      </c>
      <c r="J382" s="47">
        <v>17084103.420000002</v>
      </c>
      <c r="K382">
        <v>216878.01</v>
      </c>
      <c r="L382">
        <v>17000000</v>
      </c>
      <c r="M382">
        <v>1.08318</v>
      </c>
      <c r="N382">
        <v>3.35</v>
      </c>
      <c r="O382" t="s">
        <v>42</v>
      </c>
      <c r="P382" t="s">
        <v>23</v>
      </c>
      <c r="Q382" s="49">
        <v>42697</v>
      </c>
      <c r="R382" s="49" t="str">
        <f>DataTable[HLD_Portfolio]&amp;DataTable[HLD_Date]</f>
        <v>SCBRF43381</v>
      </c>
    </row>
    <row r="383" spans="1:18" x14ac:dyDescent="0.2">
      <c r="A383" s="49">
        <v>43381</v>
      </c>
      <c r="B383" t="s">
        <v>385</v>
      </c>
      <c r="C383" t="s">
        <v>18</v>
      </c>
      <c r="D383" t="s">
        <v>112</v>
      </c>
      <c r="F383" t="s">
        <v>569</v>
      </c>
      <c r="G383" t="s">
        <v>571</v>
      </c>
      <c r="H383" t="s">
        <v>570</v>
      </c>
      <c r="I383" s="49">
        <v>44468</v>
      </c>
      <c r="J383" s="47">
        <v>8931995.9100000001</v>
      </c>
      <c r="K383">
        <v>5449.32</v>
      </c>
      <c r="L383">
        <v>9000000</v>
      </c>
      <c r="M383">
        <v>2.851985</v>
      </c>
      <c r="N383">
        <v>2.21</v>
      </c>
      <c r="O383" t="s">
        <v>42</v>
      </c>
      <c r="P383" t="s">
        <v>23</v>
      </c>
      <c r="Q383" s="49">
        <v>43007</v>
      </c>
      <c r="R383" s="49" t="str">
        <f>DataTable[HLD_Portfolio]&amp;DataTable[HLD_Date]</f>
        <v>SCBRF43381</v>
      </c>
    </row>
    <row r="384" spans="1:18" x14ac:dyDescent="0.2">
      <c r="A384" s="49">
        <v>43381</v>
      </c>
      <c r="B384" t="s">
        <v>385</v>
      </c>
      <c r="C384" t="s">
        <v>18</v>
      </c>
      <c r="D384" t="s">
        <v>112</v>
      </c>
      <c r="F384" t="s">
        <v>573</v>
      </c>
      <c r="G384" t="s">
        <v>575</v>
      </c>
      <c r="H384" t="s">
        <v>574</v>
      </c>
      <c r="I384" s="49">
        <v>44325</v>
      </c>
      <c r="J384" s="47">
        <v>4226187.5999999996</v>
      </c>
      <c r="K384">
        <v>83164.92</v>
      </c>
      <c r="L384">
        <v>4256863.72</v>
      </c>
      <c r="M384">
        <v>2.3838200000000001</v>
      </c>
      <c r="N384">
        <v>2.375</v>
      </c>
      <c r="O384" t="s">
        <v>42</v>
      </c>
      <c r="P384" t="s">
        <v>23</v>
      </c>
      <c r="Q384" s="49">
        <v>41768</v>
      </c>
      <c r="R384" s="49" t="str">
        <f>DataTable[HLD_Portfolio]&amp;DataTable[HLD_Date]</f>
        <v>SCBRF43381</v>
      </c>
    </row>
    <row r="385" spans="1:18" x14ac:dyDescent="0.2">
      <c r="A385" s="49">
        <v>43381</v>
      </c>
      <c r="B385" t="s">
        <v>385</v>
      </c>
      <c r="C385" t="s">
        <v>18</v>
      </c>
      <c r="D385" t="s">
        <v>112</v>
      </c>
      <c r="F385" t="s">
        <v>576</v>
      </c>
      <c r="G385" t="s">
        <v>577</v>
      </c>
      <c r="H385" t="s">
        <v>41</v>
      </c>
      <c r="I385" s="49">
        <v>43955</v>
      </c>
      <c r="J385" s="47">
        <v>7038804.5</v>
      </c>
      <c r="K385">
        <v>78783.53</v>
      </c>
      <c r="L385">
        <v>7000000</v>
      </c>
      <c r="M385">
        <v>1.5163009999999999</v>
      </c>
      <c r="N385">
        <v>2.6</v>
      </c>
      <c r="O385" t="s">
        <v>42</v>
      </c>
      <c r="P385" t="s">
        <v>23</v>
      </c>
      <c r="Q385" s="49">
        <v>42859</v>
      </c>
      <c r="R385" s="49" t="str">
        <f>DataTable[HLD_Portfolio]&amp;DataTable[HLD_Date]</f>
        <v>SCBRF43381</v>
      </c>
    </row>
    <row r="386" spans="1:18" x14ac:dyDescent="0.2">
      <c r="A386" s="49">
        <v>43381</v>
      </c>
      <c r="B386" t="s">
        <v>385</v>
      </c>
      <c r="C386" t="s">
        <v>18</v>
      </c>
      <c r="D386" t="s">
        <v>112</v>
      </c>
      <c r="F386" t="s">
        <v>228</v>
      </c>
      <c r="G386" t="s">
        <v>227</v>
      </c>
      <c r="H386" t="s">
        <v>126</v>
      </c>
      <c r="I386" s="49">
        <v>43920</v>
      </c>
      <c r="J386" s="47">
        <v>39686750</v>
      </c>
      <c r="K386">
        <v>17260.400000000001</v>
      </c>
      <c r="L386">
        <v>40000000</v>
      </c>
      <c r="M386">
        <v>1.4416279999999999</v>
      </c>
      <c r="N386">
        <v>1.75</v>
      </c>
      <c r="O386" t="s">
        <v>42</v>
      </c>
      <c r="P386" t="s">
        <v>23</v>
      </c>
      <c r="Q386" s="49">
        <v>43189</v>
      </c>
      <c r="R386" s="49" t="str">
        <f>DataTable[HLD_Portfolio]&amp;DataTable[HLD_Date]</f>
        <v>SCBRF43381</v>
      </c>
    </row>
    <row r="387" spans="1:18" x14ac:dyDescent="0.2">
      <c r="A387" s="49">
        <v>43381</v>
      </c>
      <c r="B387" t="s">
        <v>385</v>
      </c>
      <c r="C387" t="s">
        <v>18</v>
      </c>
      <c r="D387" t="s">
        <v>112</v>
      </c>
      <c r="F387" t="s">
        <v>578</v>
      </c>
      <c r="G387" t="s">
        <v>579</v>
      </c>
      <c r="H387" t="s">
        <v>47</v>
      </c>
      <c r="I387" s="49">
        <v>43813</v>
      </c>
      <c r="J387" s="47">
        <v>2994408.72</v>
      </c>
      <c r="K387">
        <v>19040.55</v>
      </c>
      <c r="L387">
        <v>3000000</v>
      </c>
      <c r="M387">
        <v>1.1538170000000001</v>
      </c>
      <c r="N387">
        <v>1.98</v>
      </c>
      <c r="O387" t="s">
        <v>42</v>
      </c>
      <c r="P387" t="s">
        <v>23</v>
      </c>
      <c r="Q387" s="49">
        <v>43083</v>
      </c>
      <c r="R387" s="49" t="str">
        <f>DataTable[HLD_Portfolio]&amp;DataTable[HLD_Date]</f>
        <v>SCBRF43381</v>
      </c>
    </row>
    <row r="388" spans="1:18" x14ac:dyDescent="0.2">
      <c r="A388" s="49">
        <v>43381</v>
      </c>
      <c r="B388" t="s">
        <v>385</v>
      </c>
      <c r="C388" t="s">
        <v>18</v>
      </c>
      <c r="D388" t="s">
        <v>112</v>
      </c>
      <c r="F388" t="s">
        <v>580</v>
      </c>
      <c r="G388" t="s">
        <v>231</v>
      </c>
      <c r="H388" t="s">
        <v>47</v>
      </c>
      <c r="I388" s="49">
        <v>44155</v>
      </c>
      <c r="J388" s="47">
        <v>7017602.7599999998</v>
      </c>
      <c r="K388">
        <v>58730.98</v>
      </c>
      <c r="L388">
        <v>7000000</v>
      </c>
      <c r="M388">
        <v>2.0301480000000001</v>
      </c>
      <c r="N388">
        <v>2.64</v>
      </c>
      <c r="O388" t="s">
        <v>42</v>
      </c>
      <c r="P388" t="s">
        <v>23</v>
      </c>
      <c r="Q388" s="49">
        <v>42901</v>
      </c>
      <c r="R388" s="49" t="str">
        <f>DataTable[HLD_Portfolio]&amp;DataTable[HLD_Date]</f>
        <v>SCBRF43381</v>
      </c>
    </row>
    <row r="389" spans="1:18" x14ac:dyDescent="0.2">
      <c r="A389" s="49">
        <v>43381</v>
      </c>
      <c r="B389" t="s">
        <v>385</v>
      </c>
      <c r="C389" t="s">
        <v>18</v>
      </c>
      <c r="D389" t="s">
        <v>112</v>
      </c>
      <c r="F389" t="s">
        <v>581</v>
      </c>
      <c r="G389" t="s">
        <v>233</v>
      </c>
      <c r="H389" t="s">
        <v>126</v>
      </c>
      <c r="I389" s="49">
        <v>44156</v>
      </c>
      <c r="J389" s="47">
        <v>4953986.7</v>
      </c>
      <c r="K389">
        <v>42493.15</v>
      </c>
      <c r="L389">
        <v>5000000</v>
      </c>
      <c r="M389">
        <v>2.0367190000000002</v>
      </c>
      <c r="N389">
        <v>2.2000000000000002</v>
      </c>
      <c r="O389" t="s">
        <v>42</v>
      </c>
      <c r="P389" t="s">
        <v>23</v>
      </c>
      <c r="Q389" s="49">
        <v>43060</v>
      </c>
      <c r="R389" s="49" t="str">
        <f>DataTable[HLD_Portfolio]&amp;DataTable[HLD_Date]</f>
        <v>SCBRF43381</v>
      </c>
    </row>
    <row r="390" spans="1:18" x14ac:dyDescent="0.2">
      <c r="A390" s="49">
        <v>43381</v>
      </c>
      <c r="B390" t="s">
        <v>385</v>
      </c>
      <c r="C390" t="s">
        <v>18</v>
      </c>
      <c r="D390" t="s">
        <v>112</v>
      </c>
      <c r="F390" t="s">
        <v>232</v>
      </c>
      <c r="G390" t="s">
        <v>233</v>
      </c>
      <c r="H390" t="s">
        <v>126</v>
      </c>
      <c r="I390" s="49">
        <v>44260</v>
      </c>
      <c r="J390" s="47">
        <v>10875234.699999999</v>
      </c>
      <c r="K390">
        <v>22132.55</v>
      </c>
      <c r="L390">
        <v>11000000</v>
      </c>
      <c r="M390">
        <v>2.3187419999999999</v>
      </c>
      <c r="N390">
        <v>2.16</v>
      </c>
      <c r="O390" t="s">
        <v>42</v>
      </c>
      <c r="P390" t="s">
        <v>23</v>
      </c>
      <c r="Q390" s="49">
        <v>43164</v>
      </c>
      <c r="R390" s="49" t="str">
        <f>DataTable[HLD_Portfolio]&amp;DataTable[HLD_Date]</f>
        <v>SCBRF43381</v>
      </c>
    </row>
    <row r="391" spans="1:18" x14ac:dyDescent="0.2">
      <c r="A391" s="49">
        <v>43381</v>
      </c>
      <c r="B391" t="s">
        <v>385</v>
      </c>
      <c r="C391" t="s">
        <v>18</v>
      </c>
      <c r="D391" t="s">
        <v>112</v>
      </c>
      <c r="F391" t="s">
        <v>582</v>
      </c>
      <c r="G391" t="s">
        <v>84</v>
      </c>
      <c r="H391" t="s">
        <v>47</v>
      </c>
      <c r="I391" s="49">
        <v>43955</v>
      </c>
      <c r="J391" s="47">
        <v>4024077.28</v>
      </c>
      <c r="K391">
        <v>44846.04</v>
      </c>
      <c r="L391">
        <v>4039588.4</v>
      </c>
      <c r="M391">
        <v>1.516761</v>
      </c>
      <c r="N391">
        <v>1.94</v>
      </c>
      <c r="O391" t="s">
        <v>42</v>
      </c>
      <c r="P391" t="s">
        <v>23</v>
      </c>
      <c r="Q391" s="49">
        <v>42859</v>
      </c>
      <c r="R391" s="49" t="str">
        <f>DataTable[HLD_Portfolio]&amp;DataTable[HLD_Date]</f>
        <v>SCBRF43381</v>
      </c>
    </row>
    <row r="392" spans="1:18" x14ac:dyDescent="0.2">
      <c r="A392" s="49">
        <v>43381</v>
      </c>
      <c r="B392" t="s">
        <v>385</v>
      </c>
      <c r="C392" t="s">
        <v>18</v>
      </c>
      <c r="D392" t="s">
        <v>112</v>
      </c>
      <c r="F392" t="s">
        <v>235</v>
      </c>
      <c r="G392" t="s">
        <v>84</v>
      </c>
      <c r="H392" t="s">
        <v>47</v>
      </c>
      <c r="I392" s="49">
        <v>44270</v>
      </c>
      <c r="J392" s="47">
        <v>8914999.1400000006</v>
      </c>
      <c r="K392">
        <v>12368.25</v>
      </c>
      <c r="L392">
        <v>9000000</v>
      </c>
      <c r="M392">
        <v>2.3493360000000001</v>
      </c>
      <c r="N392">
        <v>2.09</v>
      </c>
      <c r="O392" t="s">
        <v>42</v>
      </c>
      <c r="P392" t="s">
        <v>23</v>
      </c>
      <c r="Q392" s="49">
        <v>43174</v>
      </c>
      <c r="R392" s="49" t="str">
        <f>DataTable[HLD_Portfolio]&amp;DataTable[HLD_Date]</f>
        <v>SCBRF43381</v>
      </c>
    </row>
    <row r="393" spans="1:18" x14ac:dyDescent="0.2">
      <c r="A393" s="49">
        <v>43381</v>
      </c>
      <c r="B393" t="s">
        <v>385</v>
      </c>
      <c r="C393" t="s">
        <v>18</v>
      </c>
      <c r="D393" t="s">
        <v>112</v>
      </c>
      <c r="F393" t="s">
        <v>583</v>
      </c>
      <c r="G393" t="s">
        <v>240</v>
      </c>
      <c r="H393" t="s">
        <v>126</v>
      </c>
      <c r="I393" s="49">
        <v>44471</v>
      </c>
      <c r="J393" s="47">
        <v>10490234.300000001</v>
      </c>
      <c r="K393">
        <v>8975.2999999999993</v>
      </c>
      <c r="L393">
        <v>10581422.6</v>
      </c>
      <c r="M393">
        <v>2.776815</v>
      </c>
      <c r="N393">
        <v>2.64</v>
      </c>
      <c r="O393" t="s">
        <v>42</v>
      </c>
      <c r="P393" t="s">
        <v>23</v>
      </c>
      <c r="Q393" s="49">
        <v>41914</v>
      </c>
      <c r="R393" s="49" t="str">
        <f>DataTable[HLD_Portfolio]&amp;DataTable[HLD_Date]</f>
        <v>SCBRF43381</v>
      </c>
    </row>
    <row r="394" spans="1:18" x14ac:dyDescent="0.2">
      <c r="A394" s="49">
        <v>43381</v>
      </c>
      <c r="B394" t="s">
        <v>385</v>
      </c>
      <c r="C394" t="s">
        <v>18</v>
      </c>
      <c r="D394" t="s">
        <v>112</v>
      </c>
      <c r="F394" t="s">
        <v>584</v>
      </c>
      <c r="G394" t="s">
        <v>585</v>
      </c>
      <c r="H394" t="s">
        <v>47</v>
      </c>
      <c r="I394" s="49">
        <v>44057</v>
      </c>
      <c r="J394" s="47">
        <v>5076914.75</v>
      </c>
      <c r="K394">
        <v>24701.35</v>
      </c>
      <c r="L394">
        <v>5072114.8</v>
      </c>
      <c r="M394">
        <v>1.783083</v>
      </c>
      <c r="N394">
        <v>2.41</v>
      </c>
      <c r="O394" t="s">
        <v>42</v>
      </c>
      <c r="P394" t="s">
        <v>23</v>
      </c>
      <c r="Q394" s="49">
        <v>42230</v>
      </c>
      <c r="R394" s="49" t="str">
        <f>DataTable[HLD_Portfolio]&amp;DataTable[HLD_Date]</f>
        <v>SCBRF43381</v>
      </c>
    </row>
    <row r="395" spans="1:18" x14ac:dyDescent="0.2">
      <c r="A395" s="49">
        <v>43381</v>
      </c>
      <c r="B395" t="s">
        <v>385</v>
      </c>
      <c r="C395" t="s">
        <v>18</v>
      </c>
      <c r="D395" t="s">
        <v>112</v>
      </c>
      <c r="F395" t="s">
        <v>586</v>
      </c>
      <c r="G395" t="s">
        <v>585</v>
      </c>
      <c r="H395" t="s">
        <v>47</v>
      </c>
      <c r="I395" s="49">
        <v>44269</v>
      </c>
      <c r="J395" s="47">
        <v>1983886.62</v>
      </c>
      <c r="K395">
        <v>3013.7</v>
      </c>
      <c r="L395">
        <v>2000000</v>
      </c>
      <c r="M395">
        <v>2.343461</v>
      </c>
      <c r="N395">
        <v>2.2000000000000002</v>
      </c>
      <c r="O395" t="s">
        <v>42</v>
      </c>
      <c r="P395" t="s">
        <v>23</v>
      </c>
      <c r="Q395" s="49">
        <v>43173</v>
      </c>
      <c r="R395" s="49" t="str">
        <f>DataTable[HLD_Portfolio]&amp;DataTable[HLD_Date]</f>
        <v>SCBRF43381</v>
      </c>
    </row>
    <row r="396" spans="1:18" x14ac:dyDescent="0.2">
      <c r="A396" s="49">
        <v>43381</v>
      </c>
      <c r="B396" t="s">
        <v>385</v>
      </c>
      <c r="C396" t="s">
        <v>18</v>
      </c>
      <c r="D396" t="s">
        <v>112</v>
      </c>
      <c r="F396" t="s">
        <v>587</v>
      </c>
      <c r="G396" t="s">
        <v>71</v>
      </c>
      <c r="H396" t="s">
        <v>47</v>
      </c>
      <c r="I396" s="49">
        <v>43594</v>
      </c>
      <c r="J396" s="47">
        <v>4995608.45</v>
      </c>
      <c r="K396">
        <v>36678.1</v>
      </c>
      <c r="L396">
        <v>5003965</v>
      </c>
      <c r="M396">
        <v>0.57516100000000003</v>
      </c>
      <c r="N396">
        <v>1.6</v>
      </c>
      <c r="O396" t="s">
        <v>42</v>
      </c>
      <c r="P396" t="s">
        <v>23</v>
      </c>
      <c r="Q396" s="49">
        <v>43048</v>
      </c>
      <c r="R396" s="49" t="str">
        <f>DataTable[HLD_Portfolio]&amp;DataTable[HLD_Date]</f>
        <v>SCBRF43381</v>
      </c>
    </row>
    <row r="397" spans="1:18" x14ac:dyDescent="0.2">
      <c r="A397" s="49">
        <v>43381</v>
      </c>
      <c r="B397" t="s">
        <v>385</v>
      </c>
      <c r="C397" t="s">
        <v>18</v>
      </c>
      <c r="D397" t="s">
        <v>112</v>
      </c>
      <c r="F397" t="s">
        <v>242</v>
      </c>
      <c r="G397" t="s">
        <v>71</v>
      </c>
      <c r="H397" t="s">
        <v>47</v>
      </c>
      <c r="I397" s="49">
        <v>43686</v>
      </c>
      <c r="J397" s="47">
        <v>9971526.5999999996</v>
      </c>
      <c r="K397">
        <v>28076.7</v>
      </c>
      <c r="L397">
        <v>10000000</v>
      </c>
      <c r="M397">
        <v>0.82450599999999996</v>
      </c>
      <c r="N397">
        <v>1.68</v>
      </c>
      <c r="O397" t="s">
        <v>42</v>
      </c>
      <c r="P397" t="s">
        <v>23</v>
      </c>
      <c r="Q397" s="49">
        <v>43140</v>
      </c>
      <c r="R397" s="49" t="str">
        <f>DataTable[HLD_Portfolio]&amp;DataTable[HLD_Date]</f>
        <v>SCBRF43381</v>
      </c>
    </row>
    <row r="398" spans="1:18" x14ac:dyDescent="0.2">
      <c r="A398" s="49">
        <v>43381</v>
      </c>
      <c r="B398" t="s">
        <v>385</v>
      </c>
      <c r="C398" t="s">
        <v>18</v>
      </c>
      <c r="D398" t="s">
        <v>112</v>
      </c>
      <c r="F398" t="s">
        <v>588</v>
      </c>
      <c r="G398" t="s">
        <v>245</v>
      </c>
      <c r="H398" t="s">
        <v>29</v>
      </c>
      <c r="I398" s="49">
        <v>43431</v>
      </c>
      <c r="J398" s="47">
        <v>12004374</v>
      </c>
      <c r="K398">
        <v>165659.16</v>
      </c>
      <c r="L398">
        <v>12000000</v>
      </c>
      <c r="M398">
        <v>0.133906</v>
      </c>
      <c r="N398">
        <v>2.2799999999999998</v>
      </c>
      <c r="O398" t="s">
        <v>42</v>
      </c>
      <c r="P398" t="s">
        <v>23</v>
      </c>
      <c r="Q398" s="49">
        <v>43161</v>
      </c>
      <c r="R398" s="49" t="str">
        <f>DataTable[HLD_Portfolio]&amp;DataTable[HLD_Date]</f>
        <v>SCBRF43381</v>
      </c>
    </row>
    <row r="399" spans="1:18" x14ac:dyDescent="0.2">
      <c r="A399" s="49">
        <v>43381</v>
      </c>
      <c r="B399" t="s">
        <v>385</v>
      </c>
      <c r="C399" t="s">
        <v>18</v>
      </c>
      <c r="D399" t="s">
        <v>112</v>
      </c>
      <c r="F399" t="s">
        <v>589</v>
      </c>
      <c r="G399" t="s">
        <v>245</v>
      </c>
      <c r="H399" t="s">
        <v>29</v>
      </c>
      <c r="I399" s="49">
        <v>43391</v>
      </c>
      <c r="J399" s="47">
        <v>8000215.04</v>
      </c>
      <c r="K399">
        <v>61731.519999999997</v>
      </c>
      <c r="L399">
        <v>8000000</v>
      </c>
      <c r="M399">
        <v>2.4646999999999999E-2</v>
      </c>
      <c r="N399">
        <v>2.15</v>
      </c>
      <c r="O399" t="s">
        <v>42</v>
      </c>
      <c r="P399" t="s">
        <v>23</v>
      </c>
      <c r="Q399" s="49">
        <v>43251</v>
      </c>
      <c r="R399" s="49" t="str">
        <f>DataTable[HLD_Portfolio]&amp;DataTable[HLD_Date]</f>
        <v>SCBRF43381</v>
      </c>
    </row>
    <row r="400" spans="1:18" x14ac:dyDescent="0.2">
      <c r="A400" s="49">
        <v>43381</v>
      </c>
      <c r="B400" t="s">
        <v>385</v>
      </c>
      <c r="C400" t="s">
        <v>18</v>
      </c>
      <c r="D400" t="s">
        <v>112</v>
      </c>
      <c r="F400" t="s">
        <v>590</v>
      </c>
      <c r="G400" t="s">
        <v>245</v>
      </c>
      <c r="H400" t="s">
        <v>29</v>
      </c>
      <c r="I400" s="49">
        <v>43494</v>
      </c>
      <c r="J400" s="47">
        <v>11004957.369999999</v>
      </c>
      <c r="K400">
        <v>92882.240000000005</v>
      </c>
      <c r="L400">
        <v>11000000</v>
      </c>
      <c r="M400">
        <v>0.30485299999999999</v>
      </c>
      <c r="N400">
        <v>2.2999999999999998</v>
      </c>
      <c r="O400" t="s">
        <v>42</v>
      </c>
      <c r="P400" t="s">
        <v>23</v>
      </c>
      <c r="Q400" s="49">
        <v>43248</v>
      </c>
      <c r="R400" s="49" t="str">
        <f>DataTable[HLD_Portfolio]&amp;DataTable[HLD_Date]</f>
        <v>SCBRF43381</v>
      </c>
    </row>
    <row r="401" spans="1:18" x14ac:dyDescent="0.2">
      <c r="A401" s="49">
        <v>43381</v>
      </c>
      <c r="B401" t="s">
        <v>385</v>
      </c>
      <c r="C401" t="s">
        <v>18</v>
      </c>
      <c r="D401" t="s">
        <v>112</v>
      </c>
      <c r="F401" t="s">
        <v>591</v>
      </c>
      <c r="G401" t="s">
        <v>247</v>
      </c>
      <c r="H401" t="s">
        <v>29</v>
      </c>
      <c r="I401" s="49">
        <v>43454</v>
      </c>
      <c r="J401" s="47">
        <v>12006391.32</v>
      </c>
      <c r="K401">
        <v>146695.92000000001</v>
      </c>
      <c r="L401">
        <v>12000000</v>
      </c>
      <c r="M401">
        <v>0.196464</v>
      </c>
      <c r="N401">
        <v>2.2999999999999998</v>
      </c>
      <c r="O401" t="s">
        <v>42</v>
      </c>
      <c r="P401" t="s">
        <v>23</v>
      </c>
      <c r="Q401" s="49">
        <v>43188</v>
      </c>
      <c r="R401" s="49" t="str">
        <f>DataTable[HLD_Portfolio]&amp;DataTable[HLD_Date]</f>
        <v>SCBRF43381</v>
      </c>
    </row>
    <row r="402" spans="1:18" x14ac:dyDescent="0.2">
      <c r="A402" s="49">
        <v>43381</v>
      </c>
      <c r="B402" t="s">
        <v>385</v>
      </c>
      <c r="C402" t="s">
        <v>18</v>
      </c>
      <c r="D402" t="s">
        <v>112</v>
      </c>
      <c r="F402" t="s">
        <v>248</v>
      </c>
      <c r="G402" t="s">
        <v>247</v>
      </c>
      <c r="H402" t="s">
        <v>29</v>
      </c>
      <c r="I402" s="49">
        <v>44410</v>
      </c>
      <c r="J402" s="47">
        <v>18981091.199999999</v>
      </c>
      <c r="K402">
        <v>130969.85</v>
      </c>
      <c r="L402">
        <v>19000000</v>
      </c>
      <c r="M402">
        <v>2.644279</v>
      </c>
      <c r="N402">
        <v>3.7</v>
      </c>
      <c r="O402" t="s">
        <v>42</v>
      </c>
      <c r="P402" t="s">
        <v>23</v>
      </c>
      <c r="Q402" s="49">
        <v>43314</v>
      </c>
      <c r="R402" s="49" t="str">
        <f>DataTable[HLD_Portfolio]&amp;DataTable[HLD_Date]</f>
        <v>SCBRF43381</v>
      </c>
    </row>
    <row r="403" spans="1:18" x14ac:dyDescent="0.2">
      <c r="A403" s="49">
        <v>43381</v>
      </c>
      <c r="B403" t="s">
        <v>385</v>
      </c>
      <c r="C403" t="s">
        <v>18</v>
      </c>
      <c r="D403" t="s">
        <v>112</v>
      </c>
      <c r="F403" t="s">
        <v>592</v>
      </c>
      <c r="G403" t="s">
        <v>75</v>
      </c>
      <c r="H403" t="s">
        <v>59</v>
      </c>
      <c r="I403" s="49">
        <v>43539</v>
      </c>
      <c r="J403" s="47">
        <v>1600286.82</v>
      </c>
      <c r="K403">
        <v>1946.3</v>
      </c>
      <c r="L403">
        <v>1601719.76</v>
      </c>
      <c r="M403">
        <v>0.42624800000000002</v>
      </c>
      <c r="N403">
        <v>1.615</v>
      </c>
      <c r="O403" t="s">
        <v>42</v>
      </c>
      <c r="P403" t="s">
        <v>23</v>
      </c>
      <c r="Q403" s="49">
        <v>42444</v>
      </c>
      <c r="R403" s="49" t="str">
        <f>DataTable[HLD_Portfolio]&amp;DataTable[HLD_Date]</f>
        <v>SCBRF43381</v>
      </c>
    </row>
    <row r="404" spans="1:18" x14ac:dyDescent="0.2">
      <c r="A404" s="49">
        <v>43381</v>
      </c>
      <c r="B404" t="s">
        <v>385</v>
      </c>
      <c r="C404" t="s">
        <v>18</v>
      </c>
      <c r="D404" t="s">
        <v>112</v>
      </c>
      <c r="F404" t="s">
        <v>249</v>
      </c>
      <c r="G404" t="s">
        <v>250</v>
      </c>
      <c r="H404" t="s">
        <v>126</v>
      </c>
      <c r="I404" s="49">
        <v>44313</v>
      </c>
      <c r="J404" s="47">
        <v>20828390.309999999</v>
      </c>
      <c r="K404">
        <v>101755.08</v>
      </c>
      <c r="L404">
        <v>21000000</v>
      </c>
      <c r="M404">
        <v>2.4519630000000001</v>
      </c>
      <c r="N404">
        <v>2.39</v>
      </c>
      <c r="O404" t="s">
        <v>42</v>
      </c>
      <c r="P404" t="s">
        <v>23</v>
      </c>
      <c r="Q404" s="49">
        <v>43217</v>
      </c>
      <c r="R404" s="49" t="str">
        <f>DataTable[HLD_Portfolio]&amp;DataTable[HLD_Date]</f>
        <v>SCBRF43381</v>
      </c>
    </row>
    <row r="405" spans="1:18" x14ac:dyDescent="0.2">
      <c r="A405" s="49">
        <v>43381</v>
      </c>
      <c r="B405" t="s">
        <v>385</v>
      </c>
      <c r="C405" t="s">
        <v>18</v>
      </c>
      <c r="D405" t="s">
        <v>112</v>
      </c>
      <c r="F405" t="s">
        <v>251</v>
      </c>
      <c r="G405" t="s">
        <v>252</v>
      </c>
      <c r="H405" t="s">
        <v>47</v>
      </c>
      <c r="I405" s="49">
        <v>44285</v>
      </c>
      <c r="J405" s="47">
        <v>49644115</v>
      </c>
      <c r="K405">
        <v>27863</v>
      </c>
      <c r="L405">
        <v>50000000</v>
      </c>
      <c r="M405">
        <v>2.3967779999999999</v>
      </c>
      <c r="N405">
        <v>2.2599999999999998</v>
      </c>
      <c r="O405" t="s">
        <v>42</v>
      </c>
      <c r="P405" t="s">
        <v>23</v>
      </c>
      <c r="Q405" s="49">
        <v>43189</v>
      </c>
      <c r="R405" s="49" t="str">
        <f>DataTable[HLD_Portfolio]&amp;DataTable[HLD_Date]</f>
        <v>SCBRF43381</v>
      </c>
    </row>
    <row r="406" spans="1:18" x14ac:dyDescent="0.2">
      <c r="A406" s="49">
        <v>43381</v>
      </c>
      <c r="B406" t="s">
        <v>385</v>
      </c>
      <c r="C406" t="s">
        <v>18</v>
      </c>
      <c r="D406" t="s">
        <v>112</v>
      </c>
      <c r="F406" t="s">
        <v>253</v>
      </c>
      <c r="G406" t="s">
        <v>254</v>
      </c>
      <c r="H406" t="s">
        <v>126</v>
      </c>
      <c r="I406" s="49">
        <v>44061</v>
      </c>
      <c r="J406" s="47">
        <v>20175758.399999999</v>
      </c>
      <c r="K406">
        <v>94882.2</v>
      </c>
      <c r="L406">
        <v>20000000</v>
      </c>
      <c r="M406">
        <v>1.787984</v>
      </c>
      <c r="N406">
        <v>3.33</v>
      </c>
      <c r="O406" t="s">
        <v>42</v>
      </c>
      <c r="P406" t="s">
        <v>23</v>
      </c>
      <c r="Q406" s="49">
        <v>42965</v>
      </c>
      <c r="R406" s="49" t="str">
        <f>DataTable[HLD_Portfolio]&amp;DataTable[HLD_Date]</f>
        <v>SCBRF43381</v>
      </c>
    </row>
    <row r="407" spans="1:18" x14ac:dyDescent="0.2">
      <c r="A407" s="49">
        <v>43381</v>
      </c>
      <c r="B407" t="s">
        <v>385</v>
      </c>
      <c r="C407" t="s">
        <v>132</v>
      </c>
      <c r="D407" t="s">
        <v>134</v>
      </c>
      <c r="E407" t="s">
        <v>134</v>
      </c>
      <c r="F407" t="s">
        <v>134</v>
      </c>
      <c r="I407" s="49"/>
      <c r="J407" s="47">
        <v>-31507</v>
      </c>
      <c r="N407">
        <v>0</v>
      </c>
      <c r="Q407" s="49"/>
      <c r="R407" s="49" t="str">
        <f>DataTable[HLD_Portfolio]&amp;DataTable[HLD_Date]</f>
        <v>SCBRF43381</v>
      </c>
    </row>
    <row r="408" spans="1:18" x14ac:dyDescent="0.2">
      <c r="A408" s="49">
        <v>43381</v>
      </c>
      <c r="B408" t="s">
        <v>385</v>
      </c>
      <c r="C408" t="s">
        <v>132</v>
      </c>
      <c r="D408" t="s">
        <v>134</v>
      </c>
      <c r="E408" t="s">
        <v>134</v>
      </c>
      <c r="F408" t="s">
        <v>134</v>
      </c>
      <c r="I408" s="49"/>
      <c r="J408" s="47">
        <v>-826.62</v>
      </c>
      <c r="N408">
        <v>0</v>
      </c>
      <c r="Q408" s="49"/>
      <c r="R408" s="49" t="str">
        <f>DataTable[HLD_Portfolio]&amp;DataTable[HLD_Date]</f>
        <v>SCBRF43381</v>
      </c>
    </row>
    <row r="409" spans="1:18" x14ac:dyDescent="0.2">
      <c r="A409" s="49">
        <v>43381</v>
      </c>
      <c r="B409" t="s">
        <v>385</v>
      </c>
      <c r="C409" t="s">
        <v>132</v>
      </c>
      <c r="D409" t="s">
        <v>135</v>
      </c>
      <c r="I409" s="49"/>
      <c r="J409" s="47">
        <v>-7887.31</v>
      </c>
      <c r="K409">
        <v>0</v>
      </c>
      <c r="N409">
        <v>0</v>
      </c>
      <c r="Q409" s="49"/>
      <c r="R409" s="49" t="str">
        <f>DataTable[HLD_Portfolio]&amp;DataTable[HLD_Date]</f>
        <v>SCBRF43381</v>
      </c>
    </row>
    <row r="410" spans="1:18" x14ac:dyDescent="0.2">
      <c r="A410" s="49">
        <v>43381</v>
      </c>
      <c r="B410" t="s">
        <v>385</v>
      </c>
      <c r="C410" t="s">
        <v>132</v>
      </c>
      <c r="D410" t="s">
        <v>137</v>
      </c>
      <c r="E410" t="s">
        <v>137</v>
      </c>
      <c r="I410" s="49"/>
      <c r="J410" s="47">
        <v>-2795.83</v>
      </c>
      <c r="L410">
        <v>-2795.83</v>
      </c>
      <c r="N410">
        <v>0</v>
      </c>
      <c r="Q410" s="49"/>
      <c r="R410" s="49" t="str">
        <f>DataTable[HLD_Portfolio]&amp;DataTable[HLD_Date]</f>
        <v>SCBRF43381</v>
      </c>
    </row>
    <row r="411" spans="1:18" x14ac:dyDescent="0.2">
      <c r="A411" s="49">
        <v>43381</v>
      </c>
      <c r="B411" t="s">
        <v>385</v>
      </c>
      <c r="C411" t="s">
        <v>132</v>
      </c>
      <c r="D411" t="s">
        <v>138</v>
      </c>
      <c r="E411" t="s">
        <v>138</v>
      </c>
      <c r="I411" s="49"/>
      <c r="J411" s="47">
        <v>-40978.839999999997</v>
      </c>
      <c r="L411">
        <v>-40978.839999999997</v>
      </c>
      <c r="N411">
        <v>0</v>
      </c>
      <c r="Q411" s="49"/>
      <c r="R411" s="49" t="str">
        <f>DataTable[HLD_Portfolio]&amp;DataTable[HLD_Date]</f>
        <v>SCBRF43381</v>
      </c>
    </row>
    <row r="412" spans="1:18" x14ac:dyDescent="0.2">
      <c r="A412" s="49">
        <v>43381</v>
      </c>
      <c r="B412" t="s">
        <v>385</v>
      </c>
      <c r="C412" t="s">
        <v>132</v>
      </c>
      <c r="D412" t="s">
        <v>139</v>
      </c>
      <c r="E412" t="s">
        <v>139</v>
      </c>
      <c r="I412" s="49"/>
      <c r="J412" s="47">
        <v>0</v>
      </c>
      <c r="L412">
        <v>0</v>
      </c>
      <c r="N412">
        <v>0</v>
      </c>
      <c r="Q412" s="49"/>
      <c r="R412" s="49" t="str">
        <f>DataTable[HLD_Portfolio]&amp;DataTable[HLD_Date]</f>
        <v>SCBRF43381</v>
      </c>
    </row>
    <row r="413" spans="1:18" x14ac:dyDescent="0.2">
      <c r="A413" s="49">
        <v>43381</v>
      </c>
      <c r="B413" t="s">
        <v>385</v>
      </c>
      <c r="C413" t="s">
        <v>140</v>
      </c>
      <c r="D413" t="s">
        <v>137</v>
      </c>
      <c r="E413" t="s">
        <v>137</v>
      </c>
      <c r="I413" s="49"/>
      <c r="J413" s="47">
        <v>-1692.86</v>
      </c>
      <c r="L413">
        <v>-1692.86</v>
      </c>
      <c r="N413">
        <v>0</v>
      </c>
      <c r="Q413" s="49"/>
      <c r="R413" s="49" t="str">
        <f>DataTable[HLD_Portfolio]&amp;DataTable[HLD_Date]</f>
        <v>SCBRF43381</v>
      </c>
    </row>
    <row r="414" spans="1:18" x14ac:dyDescent="0.2">
      <c r="A414" s="49">
        <v>43381</v>
      </c>
      <c r="B414" t="s">
        <v>385</v>
      </c>
      <c r="C414" t="s">
        <v>140</v>
      </c>
      <c r="D414" t="s">
        <v>138</v>
      </c>
      <c r="E414" t="s">
        <v>138</v>
      </c>
      <c r="I414" s="49"/>
      <c r="J414" s="47">
        <v>-24812.55</v>
      </c>
      <c r="L414">
        <v>-24812.55</v>
      </c>
      <c r="N414">
        <v>0</v>
      </c>
      <c r="Q414" s="49"/>
      <c r="R414" s="49" t="str">
        <f>DataTable[HLD_Portfolio]&amp;DataTable[HLD_Date]</f>
        <v>SCBRF43381</v>
      </c>
    </row>
    <row r="415" spans="1:18" x14ac:dyDescent="0.2">
      <c r="A415" s="49">
        <v>43381</v>
      </c>
      <c r="B415" t="s">
        <v>385</v>
      </c>
      <c r="C415" t="s">
        <v>140</v>
      </c>
      <c r="D415" t="s">
        <v>139</v>
      </c>
      <c r="E415" t="s">
        <v>139</v>
      </c>
      <c r="I415" s="49"/>
      <c r="J415" s="47">
        <v>0</v>
      </c>
      <c r="L415">
        <v>0</v>
      </c>
      <c r="N415">
        <v>0</v>
      </c>
      <c r="Q415" s="49"/>
      <c r="R415" s="49" t="str">
        <f>DataTable[HLD_Portfolio]&amp;DataTable[HLD_Date]</f>
        <v>SCBRF43381</v>
      </c>
    </row>
    <row r="416" spans="1:18" x14ac:dyDescent="0.2">
      <c r="A416" s="49">
        <v>43381</v>
      </c>
      <c r="B416" t="s">
        <v>386</v>
      </c>
      <c r="C416" t="s">
        <v>18</v>
      </c>
      <c r="D416" t="s">
        <v>19</v>
      </c>
      <c r="F416" t="s">
        <v>20</v>
      </c>
      <c r="G416" t="s">
        <v>21</v>
      </c>
      <c r="I416" s="49"/>
      <c r="J416" s="47">
        <v>3104031.18</v>
      </c>
      <c r="K416">
        <v>2138.6799999999998</v>
      </c>
      <c r="L416">
        <v>3104031.18</v>
      </c>
      <c r="M416">
        <v>0</v>
      </c>
      <c r="N416">
        <v>0</v>
      </c>
      <c r="O416" t="s">
        <v>22</v>
      </c>
      <c r="P416" t="s">
        <v>23</v>
      </c>
      <c r="Q416" s="49">
        <v>2</v>
      </c>
      <c r="R416" s="49" t="str">
        <f>DataTable[HLD_Portfolio]&amp;DataTable[HLD_Date]</f>
        <v>SCBRM143381</v>
      </c>
    </row>
    <row r="417" spans="1:18" x14ac:dyDescent="0.2">
      <c r="A417" s="49">
        <v>43381</v>
      </c>
      <c r="B417" t="s">
        <v>386</v>
      </c>
      <c r="C417" t="s">
        <v>18</v>
      </c>
      <c r="D417" t="s">
        <v>38</v>
      </c>
      <c r="F417" t="s">
        <v>157</v>
      </c>
      <c r="G417" t="s">
        <v>40</v>
      </c>
      <c r="H417" t="s">
        <v>41</v>
      </c>
      <c r="I417" s="49">
        <v>43602</v>
      </c>
      <c r="J417" s="47">
        <v>400000000</v>
      </c>
      <c r="K417">
        <v>2621917.81</v>
      </c>
      <c r="L417">
        <v>400000000</v>
      </c>
      <c r="M417">
        <v>0.59952899999999998</v>
      </c>
      <c r="N417">
        <v>1.65</v>
      </c>
      <c r="O417" t="s">
        <v>42</v>
      </c>
      <c r="P417" t="s">
        <v>23</v>
      </c>
      <c r="Q417" s="49">
        <v>43237</v>
      </c>
      <c r="R417" s="49" t="str">
        <f>DataTable[HLD_Portfolio]&amp;DataTable[HLD_Date]</f>
        <v>SCBRM143381</v>
      </c>
    </row>
    <row r="418" spans="1:18" x14ac:dyDescent="0.2">
      <c r="A418" s="49">
        <v>43381</v>
      </c>
      <c r="B418" t="s">
        <v>386</v>
      </c>
      <c r="C418" t="s">
        <v>18</v>
      </c>
      <c r="D418" t="s">
        <v>38</v>
      </c>
      <c r="F418" t="s">
        <v>180</v>
      </c>
      <c r="G418" t="s">
        <v>58</v>
      </c>
      <c r="H418" t="s">
        <v>59</v>
      </c>
      <c r="I418" s="49">
        <v>43672</v>
      </c>
      <c r="J418" s="47">
        <v>200000000</v>
      </c>
      <c r="K418">
        <v>698630.14</v>
      </c>
      <c r="L418">
        <v>200000000</v>
      </c>
      <c r="M418">
        <v>0.78663499999999997</v>
      </c>
      <c r="N418">
        <v>1.7</v>
      </c>
      <c r="O418" t="s">
        <v>42</v>
      </c>
      <c r="P418" t="s">
        <v>23</v>
      </c>
      <c r="Q418" s="49">
        <v>43307</v>
      </c>
      <c r="R418" s="49" t="str">
        <f>DataTable[HLD_Portfolio]&amp;DataTable[HLD_Date]</f>
        <v>SCBRM143381</v>
      </c>
    </row>
    <row r="419" spans="1:18" x14ac:dyDescent="0.2">
      <c r="A419" s="49">
        <v>43381</v>
      </c>
      <c r="B419" t="s">
        <v>386</v>
      </c>
      <c r="C419" t="s">
        <v>18</v>
      </c>
      <c r="D419" t="s">
        <v>38</v>
      </c>
      <c r="F419" t="s">
        <v>593</v>
      </c>
      <c r="G419" t="s">
        <v>58</v>
      </c>
      <c r="H419" t="s">
        <v>59</v>
      </c>
      <c r="I419" s="49">
        <v>43434</v>
      </c>
      <c r="J419" s="47">
        <v>202000000</v>
      </c>
      <c r="K419">
        <v>2762695.89</v>
      </c>
      <c r="L419">
        <v>202000000</v>
      </c>
      <c r="M419">
        <v>0.144869</v>
      </c>
      <c r="N419">
        <v>1.6</v>
      </c>
      <c r="O419" t="s">
        <v>42</v>
      </c>
      <c r="P419" t="s">
        <v>23</v>
      </c>
      <c r="Q419" s="49">
        <v>43070</v>
      </c>
      <c r="R419" s="49" t="str">
        <f>DataTable[HLD_Portfolio]&amp;DataTable[HLD_Date]</f>
        <v>SCBRM143381</v>
      </c>
    </row>
    <row r="420" spans="1:18" x14ac:dyDescent="0.2">
      <c r="A420" s="49">
        <v>43381</v>
      </c>
      <c r="B420" t="s">
        <v>386</v>
      </c>
      <c r="C420" t="s">
        <v>18</v>
      </c>
      <c r="D420" t="s">
        <v>38</v>
      </c>
      <c r="F420" t="s">
        <v>594</v>
      </c>
      <c r="G420" t="s">
        <v>73</v>
      </c>
      <c r="H420" t="s">
        <v>27</v>
      </c>
      <c r="I420" s="49">
        <v>44196</v>
      </c>
      <c r="J420" s="47">
        <v>102113.28</v>
      </c>
      <c r="K420">
        <v>104.91</v>
      </c>
      <c r="L420">
        <v>102113.28</v>
      </c>
      <c r="M420">
        <v>0</v>
      </c>
      <c r="N420">
        <v>0</v>
      </c>
      <c r="O420" t="s">
        <v>42</v>
      </c>
      <c r="P420" t="s">
        <v>23</v>
      </c>
      <c r="Q420" s="49">
        <v>40183</v>
      </c>
      <c r="R420" s="49" t="str">
        <f>DataTable[HLD_Portfolio]&amp;DataTable[HLD_Date]</f>
        <v>SCBRM143381</v>
      </c>
    </row>
    <row r="421" spans="1:18" x14ac:dyDescent="0.2">
      <c r="A421" s="49">
        <v>43381</v>
      </c>
      <c r="B421" t="s">
        <v>386</v>
      </c>
      <c r="C421" t="s">
        <v>18</v>
      </c>
      <c r="D421" t="s">
        <v>38</v>
      </c>
      <c r="F421" t="s">
        <v>595</v>
      </c>
      <c r="G421" t="s">
        <v>75</v>
      </c>
      <c r="H421" t="s">
        <v>59</v>
      </c>
      <c r="I421" s="49">
        <v>44196</v>
      </c>
      <c r="J421" s="47">
        <v>10310271.09</v>
      </c>
      <c r="K421">
        <v>67651.320000000007</v>
      </c>
      <c r="L421">
        <v>10310271.09</v>
      </c>
      <c r="M421">
        <v>0</v>
      </c>
      <c r="N421">
        <v>0</v>
      </c>
      <c r="O421" t="s">
        <v>42</v>
      </c>
      <c r="P421" t="s">
        <v>23</v>
      </c>
      <c r="Q421" s="49">
        <v>38594</v>
      </c>
      <c r="R421" s="49" t="str">
        <f>DataTable[HLD_Portfolio]&amp;DataTable[HLD_Date]</f>
        <v>SCBRM143381</v>
      </c>
    </row>
    <row r="422" spans="1:18" x14ac:dyDescent="0.2">
      <c r="A422" s="49">
        <v>43381</v>
      </c>
      <c r="B422" t="s">
        <v>386</v>
      </c>
      <c r="C422" t="s">
        <v>18</v>
      </c>
      <c r="D422" t="s">
        <v>77</v>
      </c>
      <c r="F422" t="s">
        <v>194</v>
      </c>
      <c r="G422" t="s">
        <v>195</v>
      </c>
      <c r="H422" t="s">
        <v>51</v>
      </c>
      <c r="I422" s="49">
        <v>43502</v>
      </c>
      <c r="J422" s="47">
        <v>99457664</v>
      </c>
      <c r="L422">
        <v>99444202</v>
      </c>
      <c r="M422">
        <v>0.326984</v>
      </c>
      <c r="N422">
        <v>1.7</v>
      </c>
      <c r="O422" t="s">
        <v>42</v>
      </c>
      <c r="P422" t="s">
        <v>23</v>
      </c>
      <c r="Q422" s="49">
        <v>43318</v>
      </c>
      <c r="R422" s="49" t="str">
        <f>DataTable[HLD_Portfolio]&amp;DataTable[HLD_Date]</f>
        <v>SCBRM143381</v>
      </c>
    </row>
    <row r="423" spans="1:18" x14ac:dyDescent="0.2">
      <c r="A423" s="49">
        <v>43381</v>
      </c>
      <c r="B423" t="s">
        <v>386</v>
      </c>
      <c r="C423" t="s">
        <v>18</v>
      </c>
      <c r="D423" t="s">
        <v>77</v>
      </c>
      <c r="F423" t="s">
        <v>209</v>
      </c>
      <c r="G423" t="s">
        <v>84</v>
      </c>
      <c r="H423" t="s">
        <v>47</v>
      </c>
      <c r="I423" s="49">
        <v>43496</v>
      </c>
      <c r="J423" s="47">
        <v>298547918.25</v>
      </c>
      <c r="L423">
        <v>298531470.52999997</v>
      </c>
      <c r="M423">
        <v>0.31081700000000001</v>
      </c>
      <c r="N423">
        <v>1.575</v>
      </c>
      <c r="O423" t="s">
        <v>42</v>
      </c>
      <c r="P423" t="s">
        <v>23</v>
      </c>
      <c r="Q423" s="49">
        <v>43227</v>
      </c>
      <c r="R423" s="49" t="str">
        <f>DataTable[HLD_Portfolio]&amp;DataTable[HLD_Date]</f>
        <v>SCBRM143381</v>
      </c>
    </row>
    <row r="424" spans="1:18" x14ac:dyDescent="0.2">
      <c r="A424" s="49">
        <v>43381</v>
      </c>
      <c r="B424" t="s">
        <v>386</v>
      </c>
      <c r="C424" t="s">
        <v>18</v>
      </c>
      <c r="D424" t="s">
        <v>77</v>
      </c>
      <c r="F424" t="s">
        <v>596</v>
      </c>
      <c r="G424" t="s">
        <v>247</v>
      </c>
      <c r="H424" t="s">
        <v>29</v>
      </c>
      <c r="I424" s="49">
        <v>43550</v>
      </c>
      <c r="J424" s="47">
        <v>57363074.740000002</v>
      </c>
      <c r="L424">
        <v>57392426.219999999</v>
      </c>
      <c r="M424">
        <v>0.45521899999999998</v>
      </c>
      <c r="N424">
        <v>2.2999999999999998</v>
      </c>
      <c r="O424" t="s">
        <v>42</v>
      </c>
      <c r="P424" t="s">
        <v>23</v>
      </c>
      <c r="Q424" s="49">
        <v>43280</v>
      </c>
      <c r="R424" s="49" t="str">
        <f>DataTable[HLD_Portfolio]&amp;DataTable[HLD_Date]</f>
        <v>SCBRM143381</v>
      </c>
    </row>
    <row r="425" spans="1:18" x14ac:dyDescent="0.2">
      <c r="A425" s="49">
        <v>43381</v>
      </c>
      <c r="B425" t="s">
        <v>386</v>
      </c>
      <c r="C425" t="s">
        <v>18</v>
      </c>
      <c r="D425" t="s">
        <v>85</v>
      </c>
      <c r="F425" t="s">
        <v>86</v>
      </c>
      <c r="G425" t="s">
        <v>87</v>
      </c>
      <c r="H425" t="s">
        <v>29</v>
      </c>
      <c r="I425" s="49">
        <v>43418</v>
      </c>
      <c r="J425" s="47">
        <v>39951926.399999999</v>
      </c>
      <c r="L425">
        <v>39951926.399999999</v>
      </c>
      <c r="M425">
        <v>9.8512000000000002E-2</v>
      </c>
      <c r="N425">
        <v>1.22</v>
      </c>
      <c r="O425" t="s">
        <v>42</v>
      </c>
      <c r="P425" t="s">
        <v>23</v>
      </c>
      <c r="Q425" s="49">
        <v>43054</v>
      </c>
      <c r="R425" s="49" t="str">
        <f>DataTable[HLD_Portfolio]&amp;DataTable[HLD_Date]</f>
        <v>SCBRM143381</v>
      </c>
    </row>
    <row r="426" spans="1:18" x14ac:dyDescent="0.2">
      <c r="A426" s="49">
        <v>43381</v>
      </c>
      <c r="B426" t="s">
        <v>386</v>
      </c>
      <c r="C426" t="s">
        <v>18</v>
      </c>
      <c r="D426" t="s">
        <v>89</v>
      </c>
      <c r="F426" t="s">
        <v>90</v>
      </c>
      <c r="G426" t="s">
        <v>91</v>
      </c>
      <c r="I426" s="49">
        <v>43440</v>
      </c>
      <c r="J426" s="47">
        <v>149690776.5</v>
      </c>
      <c r="L426">
        <v>149680665</v>
      </c>
      <c r="M426">
        <v>0.158583</v>
      </c>
      <c r="N426">
        <v>1.3426</v>
      </c>
      <c r="O426" t="s">
        <v>42</v>
      </c>
      <c r="P426" t="s">
        <v>23</v>
      </c>
      <c r="Q426" s="49">
        <v>43349</v>
      </c>
      <c r="R426" s="49" t="str">
        <f>DataTable[HLD_Portfolio]&amp;DataTable[HLD_Date]</f>
        <v>SCBRM143381</v>
      </c>
    </row>
    <row r="427" spans="1:18" x14ac:dyDescent="0.2">
      <c r="A427" s="49">
        <v>43381</v>
      </c>
      <c r="B427" t="s">
        <v>386</v>
      </c>
      <c r="C427" t="s">
        <v>18</v>
      </c>
      <c r="D427" t="s">
        <v>89</v>
      </c>
      <c r="F427" t="s">
        <v>92</v>
      </c>
      <c r="G427" t="s">
        <v>91</v>
      </c>
      <c r="I427" s="49">
        <v>43447</v>
      </c>
      <c r="J427" s="47">
        <v>149692771.5</v>
      </c>
      <c r="L427">
        <v>149689723.5</v>
      </c>
      <c r="M427">
        <v>0.177673</v>
      </c>
      <c r="N427">
        <v>1.163953</v>
      </c>
      <c r="O427" t="s">
        <v>42</v>
      </c>
      <c r="P427" t="s">
        <v>23</v>
      </c>
      <c r="Q427" s="49">
        <v>43356</v>
      </c>
      <c r="R427" s="49" t="str">
        <f>DataTable[HLD_Portfolio]&amp;DataTable[HLD_Date]</f>
        <v>SCBRM143381</v>
      </c>
    </row>
    <row r="428" spans="1:18" x14ac:dyDescent="0.2">
      <c r="A428" s="49">
        <v>43381</v>
      </c>
      <c r="B428" t="s">
        <v>386</v>
      </c>
      <c r="C428" t="s">
        <v>18</v>
      </c>
      <c r="D428" t="s">
        <v>89</v>
      </c>
      <c r="F428" t="s">
        <v>211</v>
      </c>
      <c r="G428" t="s">
        <v>91</v>
      </c>
      <c r="I428" s="49">
        <v>43461</v>
      </c>
      <c r="J428" s="47">
        <v>278169151.94999999</v>
      </c>
      <c r="L428">
        <v>278163147.87</v>
      </c>
      <c r="M428">
        <v>0.21576100000000001</v>
      </c>
      <c r="N428">
        <v>1.39</v>
      </c>
      <c r="O428" t="s">
        <v>42</v>
      </c>
      <c r="P428" t="s">
        <v>23</v>
      </c>
      <c r="Q428" s="49">
        <v>43370</v>
      </c>
      <c r="R428" s="49" t="str">
        <f>DataTable[HLD_Portfolio]&amp;DataTable[HLD_Date]</f>
        <v>SCBRM143381</v>
      </c>
    </row>
    <row r="429" spans="1:18" x14ac:dyDescent="0.2">
      <c r="A429" s="49">
        <v>43381</v>
      </c>
      <c r="B429" t="s">
        <v>386</v>
      </c>
      <c r="C429" t="s">
        <v>18</v>
      </c>
      <c r="D429" t="s">
        <v>89</v>
      </c>
      <c r="F429" t="s">
        <v>95</v>
      </c>
      <c r="G429" t="s">
        <v>91</v>
      </c>
      <c r="I429" s="49">
        <v>43412</v>
      </c>
      <c r="J429" s="47">
        <v>128875299.56999999</v>
      </c>
      <c r="L429">
        <v>128875299.56999999</v>
      </c>
      <c r="M429">
        <v>8.2113000000000005E-2</v>
      </c>
      <c r="N429">
        <v>1.1772480000000001</v>
      </c>
      <c r="O429" t="s">
        <v>42</v>
      </c>
      <c r="P429" t="s">
        <v>23</v>
      </c>
      <c r="Q429" s="49">
        <v>43230</v>
      </c>
      <c r="R429" s="49" t="str">
        <f>DataTable[HLD_Portfolio]&amp;DataTable[HLD_Date]</f>
        <v>SCBRM143381</v>
      </c>
    </row>
    <row r="430" spans="1:18" x14ac:dyDescent="0.2">
      <c r="A430" s="49">
        <v>43381</v>
      </c>
      <c r="B430" t="s">
        <v>386</v>
      </c>
      <c r="C430" t="s">
        <v>18</v>
      </c>
      <c r="D430" t="s">
        <v>89</v>
      </c>
      <c r="F430" t="s">
        <v>96</v>
      </c>
      <c r="G430" t="s">
        <v>91</v>
      </c>
      <c r="I430" s="49">
        <v>43412</v>
      </c>
      <c r="J430" s="47">
        <v>69926720.5</v>
      </c>
      <c r="L430">
        <v>69926229.099999994</v>
      </c>
      <c r="M430">
        <v>8.2112000000000004E-2</v>
      </c>
      <c r="N430">
        <v>1.28356</v>
      </c>
      <c r="O430" t="s">
        <v>42</v>
      </c>
      <c r="P430" t="s">
        <v>23</v>
      </c>
      <c r="Q430" s="49">
        <v>43321</v>
      </c>
      <c r="R430" s="49" t="str">
        <f>DataTable[HLD_Portfolio]&amp;DataTable[HLD_Date]</f>
        <v>SCBRM143381</v>
      </c>
    </row>
    <row r="431" spans="1:18" x14ac:dyDescent="0.2">
      <c r="A431" s="49">
        <v>43381</v>
      </c>
      <c r="B431" t="s">
        <v>386</v>
      </c>
      <c r="C431" t="s">
        <v>18</v>
      </c>
      <c r="D431" t="s">
        <v>89</v>
      </c>
      <c r="F431" t="s">
        <v>98</v>
      </c>
      <c r="G431" t="s">
        <v>91</v>
      </c>
      <c r="I431" s="49">
        <v>43419</v>
      </c>
      <c r="J431" s="47">
        <v>49939468.5</v>
      </c>
      <c r="L431">
        <v>49939468.5</v>
      </c>
      <c r="M431">
        <v>0.10125000000000001</v>
      </c>
      <c r="N431">
        <v>1.1957139999999999</v>
      </c>
      <c r="O431" t="s">
        <v>42</v>
      </c>
      <c r="P431" t="s">
        <v>23</v>
      </c>
      <c r="Q431" s="49">
        <v>43328</v>
      </c>
      <c r="R431" s="49" t="str">
        <f>DataTable[HLD_Portfolio]&amp;DataTable[HLD_Date]</f>
        <v>SCBRM143381</v>
      </c>
    </row>
    <row r="432" spans="1:18" x14ac:dyDescent="0.2">
      <c r="A432" s="49">
        <v>43381</v>
      </c>
      <c r="B432" t="s">
        <v>386</v>
      </c>
      <c r="C432" t="s">
        <v>18</v>
      </c>
      <c r="D432" t="s">
        <v>89</v>
      </c>
      <c r="F432" t="s">
        <v>99</v>
      </c>
      <c r="G432" t="s">
        <v>91</v>
      </c>
      <c r="I432" s="49">
        <v>43426</v>
      </c>
      <c r="J432" s="47">
        <v>99851946</v>
      </c>
      <c r="L432">
        <v>99851946</v>
      </c>
      <c r="M432">
        <v>0.120375</v>
      </c>
      <c r="N432">
        <v>1.23</v>
      </c>
      <c r="O432" t="s">
        <v>42</v>
      </c>
      <c r="P432" t="s">
        <v>23</v>
      </c>
      <c r="Q432" s="49">
        <v>43244</v>
      </c>
      <c r="R432" s="49" t="str">
        <f>DataTable[HLD_Portfolio]&amp;DataTable[HLD_Date]</f>
        <v>SCBRM143381</v>
      </c>
    </row>
    <row r="433" spans="1:18" x14ac:dyDescent="0.2">
      <c r="A433" s="49">
        <v>43381</v>
      </c>
      <c r="B433" t="s">
        <v>386</v>
      </c>
      <c r="C433" t="s">
        <v>18</v>
      </c>
      <c r="D433" t="s">
        <v>89</v>
      </c>
      <c r="F433" t="s">
        <v>101</v>
      </c>
      <c r="G433" t="s">
        <v>91</v>
      </c>
      <c r="I433" s="49">
        <v>43433</v>
      </c>
      <c r="J433" s="47">
        <v>199695860</v>
      </c>
      <c r="L433">
        <v>199695860</v>
      </c>
      <c r="M433">
        <v>0.13947999999999999</v>
      </c>
      <c r="N433">
        <v>1.0900000000000001</v>
      </c>
      <c r="O433" t="s">
        <v>42</v>
      </c>
      <c r="P433" t="s">
        <v>23</v>
      </c>
      <c r="Q433" s="49">
        <v>43251</v>
      </c>
      <c r="R433" s="49" t="str">
        <f>DataTable[HLD_Portfolio]&amp;DataTable[HLD_Date]</f>
        <v>SCBRM143381</v>
      </c>
    </row>
    <row r="434" spans="1:18" x14ac:dyDescent="0.2">
      <c r="A434" s="49">
        <v>43381</v>
      </c>
      <c r="B434" t="s">
        <v>386</v>
      </c>
      <c r="C434" t="s">
        <v>18</v>
      </c>
      <c r="D434" t="s">
        <v>89</v>
      </c>
      <c r="F434" t="s">
        <v>103</v>
      </c>
      <c r="G434" t="s">
        <v>91</v>
      </c>
      <c r="I434" s="49">
        <v>43382</v>
      </c>
      <c r="J434" s="47">
        <v>316000000</v>
      </c>
      <c r="L434">
        <v>316000000</v>
      </c>
      <c r="M434">
        <v>2.7399999999999998E-3</v>
      </c>
      <c r="N434">
        <v>1.16547</v>
      </c>
      <c r="O434" t="s">
        <v>42</v>
      </c>
      <c r="P434" t="s">
        <v>23</v>
      </c>
      <c r="Q434" s="49">
        <v>43368</v>
      </c>
      <c r="R434" s="49" t="str">
        <f>DataTable[HLD_Portfolio]&amp;DataTable[HLD_Date]</f>
        <v>SCBRM143381</v>
      </c>
    </row>
    <row r="435" spans="1:18" x14ac:dyDescent="0.2">
      <c r="A435" s="49">
        <v>43381</v>
      </c>
      <c r="B435" t="s">
        <v>386</v>
      </c>
      <c r="C435" t="s">
        <v>18</v>
      </c>
      <c r="D435" t="s">
        <v>89</v>
      </c>
      <c r="F435" t="s">
        <v>104</v>
      </c>
      <c r="G435" t="s">
        <v>91</v>
      </c>
      <c r="I435" s="49">
        <v>43384</v>
      </c>
      <c r="J435" s="47">
        <v>1999869.32</v>
      </c>
      <c r="L435">
        <v>1999869.32</v>
      </c>
      <c r="M435">
        <v>5.4790000000000004E-3</v>
      </c>
      <c r="N435">
        <v>1.1924999999999999</v>
      </c>
      <c r="O435" t="s">
        <v>42</v>
      </c>
      <c r="P435" t="s">
        <v>23</v>
      </c>
      <c r="Q435" s="49">
        <v>43202</v>
      </c>
      <c r="R435" s="49" t="str">
        <f>DataTable[HLD_Portfolio]&amp;DataTable[HLD_Date]</f>
        <v>SCBRM143381</v>
      </c>
    </row>
    <row r="436" spans="1:18" x14ac:dyDescent="0.2">
      <c r="A436" s="49">
        <v>43381</v>
      </c>
      <c r="B436" t="s">
        <v>386</v>
      </c>
      <c r="C436" t="s">
        <v>18</v>
      </c>
      <c r="D436" t="s">
        <v>89</v>
      </c>
      <c r="F436" t="s">
        <v>105</v>
      </c>
      <c r="G436" t="s">
        <v>91</v>
      </c>
      <c r="I436" s="49">
        <v>43384</v>
      </c>
      <c r="J436" s="47">
        <v>231985583.52000001</v>
      </c>
      <c r="L436">
        <v>231985583.52000001</v>
      </c>
      <c r="M436">
        <v>5.4790000000000004E-3</v>
      </c>
      <c r="N436">
        <v>1.1340520000000001</v>
      </c>
      <c r="O436" t="s">
        <v>42</v>
      </c>
      <c r="P436" t="s">
        <v>23</v>
      </c>
      <c r="Q436" s="49">
        <v>43293</v>
      </c>
      <c r="R436" s="49" t="str">
        <f>DataTable[HLD_Portfolio]&amp;DataTable[HLD_Date]</f>
        <v>SCBRM143381</v>
      </c>
    </row>
    <row r="437" spans="1:18" x14ac:dyDescent="0.2">
      <c r="A437" s="49">
        <v>43381</v>
      </c>
      <c r="B437" t="s">
        <v>386</v>
      </c>
      <c r="C437" t="s">
        <v>18</v>
      </c>
      <c r="D437" t="s">
        <v>89</v>
      </c>
      <c r="F437" t="s">
        <v>107</v>
      </c>
      <c r="G437" t="s">
        <v>91</v>
      </c>
      <c r="I437" s="49">
        <v>43391</v>
      </c>
      <c r="J437" s="47">
        <v>136960408.37</v>
      </c>
      <c r="L437">
        <v>136960408.37</v>
      </c>
      <c r="M437">
        <v>2.4650999999999999E-2</v>
      </c>
      <c r="N437">
        <v>1.172372</v>
      </c>
      <c r="O437" t="s">
        <v>42</v>
      </c>
      <c r="P437" t="s">
        <v>23</v>
      </c>
      <c r="Q437" s="49">
        <v>43209</v>
      </c>
      <c r="R437" s="49" t="str">
        <f>DataTable[HLD_Portfolio]&amp;DataTable[HLD_Date]</f>
        <v>SCBRM143381</v>
      </c>
    </row>
    <row r="438" spans="1:18" x14ac:dyDescent="0.2">
      <c r="A438" s="49">
        <v>43381</v>
      </c>
      <c r="B438" t="s">
        <v>386</v>
      </c>
      <c r="C438" t="s">
        <v>18</v>
      </c>
      <c r="D438" t="s">
        <v>89</v>
      </c>
      <c r="F438" t="s">
        <v>108</v>
      </c>
      <c r="G438" t="s">
        <v>91</v>
      </c>
      <c r="I438" s="49">
        <v>43391</v>
      </c>
      <c r="J438" s="47">
        <v>142956466.50999999</v>
      </c>
      <c r="L438">
        <v>142955897.37</v>
      </c>
      <c r="M438">
        <v>2.4650999999999999E-2</v>
      </c>
      <c r="N438">
        <v>1.2511760000000001</v>
      </c>
      <c r="O438" t="s">
        <v>42</v>
      </c>
      <c r="P438" t="s">
        <v>23</v>
      </c>
      <c r="Q438" s="49">
        <v>43300</v>
      </c>
      <c r="R438" s="49" t="str">
        <f>DataTable[HLD_Portfolio]&amp;DataTable[HLD_Date]</f>
        <v>SCBRM143381</v>
      </c>
    </row>
    <row r="439" spans="1:18" x14ac:dyDescent="0.2">
      <c r="A439" s="49">
        <v>43381</v>
      </c>
      <c r="B439" t="s">
        <v>386</v>
      </c>
      <c r="C439" t="s">
        <v>18</v>
      </c>
      <c r="D439" t="s">
        <v>89</v>
      </c>
      <c r="F439" t="s">
        <v>388</v>
      </c>
      <c r="G439" t="s">
        <v>91</v>
      </c>
      <c r="I439" s="49">
        <v>43397</v>
      </c>
      <c r="J439" s="47">
        <v>319850430.75999999</v>
      </c>
      <c r="L439">
        <v>319850430.75999999</v>
      </c>
      <c r="M439">
        <v>4.3836E-2</v>
      </c>
      <c r="N439">
        <v>1.137888</v>
      </c>
      <c r="O439" t="s">
        <v>42</v>
      </c>
      <c r="P439" t="s">
        <v>23</v>
      </c>
      <c r="Q439" s="49">
        <v>43382</v>
      </c>
      <c r="R439" s="49" t="str">
        <f>DataTable[HLD_Portfolio]&amp;DataTable[HLD_Date]</f>
        <v>SCBRM143381</v>
      </c>
    </row>
    <row r="440" spans="1:18" x14ac:dyDescent="0.2">
      <c r="A440" s="49">
        <v>43381</v>
      </c>
      <c r="B440" t="s">
        <v>386</v>
      </c>
      <c r="C440" t="s">
        <v>18</v>
      </c>
      <c r="D440" t="s">
        <v>89</v>
      </c>
      <c r="F440" t="s">
        <v>110</v>
      </c>
      <c r="G440" t="s">
        <v>91</v>
      </c>
      <c r="I440" s="49">
        <v>43398</v>
      </c>
      <c r="J440" s="47">
        <v>157920889.40000001</v>
      </c>
      <c r="L440">
        <v>157920889.40000001</v>
      </c>
      <c r="M440">
        <v>4.3812999999999998E-2</v>
      </c>
      <c r="N440">
        <v>1.1427849999999999</v>
      </c>
      <c r="O440" t="s">
        <v>42</v>
      </c>
      <c r="P440" t="s">
        <v>23</v>
      </c>
      <c r="Q440" s="49">
        <v>43307</v>
      </c>
      <c r="R440" s="49" t="str">
        <f>DataTable[HLD_Portfolio]&amp;DataTable[HLD_Date]</f>
        <v>SCBRM143381</v>
      </c>
    </row>
    <row r="441" spans="1:18" x14ac:dyDescent="0.2">
      <c r="A441" s="49">
        <v>43381</v>
      </c>
      <c r="B441" t="s">
        <v>386</v>
      </c>
      <c r="C441" t="s">
        <v>18</v>
      </c>
      <c r="D441" t="s">
        <v>89</v>
      </c>
      <c r="F441" t="s">
        <v>111</v>
      </c>
      <c r="G441" t="s">
        <v>91</v>
      </c>
      <c r="I441" s="49">
        <v>43468</v>
      </c>
      <c r="J441" s="47">
        <v>89689355.099999994</v>
      </c>
      <c r="L441">
        <v>89685003.599999994</v>
      </c>
      <c r="M441">
        <v>0.23480300000000001</v>
      </c>
      <c r="N441">
        <v>1.490667</v>
      </c>
      <c r="O441" t="s">
        <v>42</v>
      </c>
      <c r="P441" t="s">
        <v>23</v>
      </c>
      <c r="Q441" s="49">
        <v>43377</v>
      </c>
      <c r="R441" s="49" t="str">
        <f>DataTable[HLD_Portfolio]&amp;DataTable[HLD_Date]</f>
        <v>SCBRM143381</v>
      </c>
    </row>
    <row r="442" spans="1:18" x14ac:dyDescent="0.2">
      <c r="A442" s="49">
        <v>43381</v>
      </c>
      <c r="B442" t="s">
        <v>386</v>
      </c>
      <c r="C442" t="s">
        <v>18</v>
      </c>
      <c r="D442" t="s">
        <v>89</v>
      </c>
      <c r="F442" t="s">
        <v>597</v>
      </c>
      <c r="G442" t="s">
        <v>91</v>
      </c>
      <c r="I442" s="49">
        <v>43538</v>
      </c>
      <c r="J442" s="47">
        <v>49660404.5</v>
      </c>
      <c r="L442">
        <v>49674849</v>
      </c>
      <c r="M442">
        <v>0.42449399999999998</v>
      </c>
      <c r="N442">
        <v>1.5315000000000001</v>
      </c>
      <c r="O442" t="s">
        <v>42</v>
      </c>
      <c r="P442" t="s">
        <v>23</v>
      </c>
      <c r="Q442" s="49">
        <v>43174</v>
      </c>
      <c r="R442" s="49" t="str">
        <f>DataTable[HLD_Portfolio]&amp;DataTable[HLD_Date]</f>
        <v>SCBRM143381</v>
      </c>
    </row>
    <row r="443" spans="1:18" x14ac:dyDescent="0.2">
      <c r="A443" s="49">
        <v>43381</v>
      </c>
      <c r="B443" t="s">
        <v>386</v>
      </c>
      <c r="C443" t="s">
        <v>18</v>
      </c>
      <c r="D443" t="s">
        <v>115</v>
      </c>
      <c r="F443" t="s">
        <v>598</v>
      </c>
      <c r="G443" t="s">
        <v>91</v>
      </c>
      <c r="I443" s="49">
        <v>43516</v>
      </c>
      <c r="J443" s="47">
        <v>49990952</v>
      </c>
      <c r="K443">
        <v>108904</v>
      </c>
      <c r="L443">
        <v>50032116</v>
      </c>
      <c r="M443">
        <v>0.36417300000000002</v>
      </c>
      <c r="N443">
        <v>1.3946000000000001</v>
      </c>
      <c r="O443" t="s">
        <v>42</v>
      </c>
      <c r="P443" t="s">
        <v>23</v>
      </c>
      <c r="Q443" s="49">
        <v>42786</v>
      </c>
      <c r="R443" s="49" t="str">
        <f>DataTable[HLD_Portfolio]&amp;DataTable[HLD_Date]</f>
        <v>SCBRM143381</v>
      </c>
    </row>
    <row r="444" spans="1:18" x14ac:dyDescent="0.2">
      <c r="A444" s="49">
        <v>43381</v>
      </c>
      <c r="B444" t="s">
        <v>386</v>
      </c>
      <c r="C444" t="s">
        <v>18</v>
      </c>
      <c r="D444" t="s">
        <v>115</v>
      </c>
      <c r="F444" t="s">
        <v>599</v>
      </c>
      <c r="G444" t="s">
        <v>91</v>
      </c>
      <c r="I444" s="49">
        <v>43720</v>
      </c>
      <c r="J444" s="47">
        <v>199758710</v>
      </c>
      <c r="K444">
        <v>244110</v>
      </c>
      <c r="L444">
        <v>200341220</v>
      </c>
      <c r="M444">
        <v>0.90968499999999997</v>
      </c>
      <c r="N444">
        <v>1.47</v>
      </c>
      <c r="O444" t="s">
        <v>42</v>
      </c>
      <c r="P444" t="s">
        <v>23</v>
      </c>
      <c r="Q444" s="49">
        <v>42625</v>
      </c>
      <c r="R444" s="49" t="str">
        <f>DataTable[HLD_Portfolio]&amp;DataTable[HLD_Date]</f>
        <v>SCBRM143381</v>
      </c>
    </row>
    <row r="445" spans="1:18" x14ac:dyDescent="0.2">
      <c r="A445" s="49">
        <v>43381</v>
      </c>
      <c r="B445" t="s">
        <v>386</v>
      </c>
      <c r="C445" t="s">
        <v>18</v>
      </c>
      <c r="D445" t="s">
        <v>115</v>
      </c>
      <c r="F445" t="s">
        <v>600</v>
      </c>
      <c r="G445" t="s">
        <v>91</v>
      </c>
      <c r="I445" s="49">
        <v>44099</v>
      </c>
      <c r="J445" s="47">
        <v>109033589.5</v>
      </c>
      <c r="K445">
        <v>66240.899999999994</v>
      </c>
      <c r="L445">
        <v>110112526.7</v>
      </c>
      <c r="M445">
        <v>1.9147000000000001</v>
      </c>
      <c r="N445">
        <v>1.52</v>
      </c>
      <c r="O445" t="s">
        <v>42</v>
      </c>
      <c r="P445" t="s">
        <v>23</v>
      </c>
      <c r="Q445" s="49">
        <v>43003</v>
      </c>
      <c r="R445" s="49" t="str">
        <f>DataTable[HLD_Portfolio]&amp;DataTable[HLD_Date]</f>
        <v>SCBRM143381</v>
      </c>
    </row>
    <row r="446" spans="1:18" x14ac:dyDescent="0.2">
      <c r="A446" s="49">
        <v>43381</v>
      </c>
      <c r="B446" t="s">
        <v>386</v>
      </c>
      <c r="C446" t="s">
        <v>18</v>
      </c>
      <c r="D446" t="s">
        <v>115</v>
      </c>
      <c r="F446" t="s">
        <v>601</v>
      </c>
      <c r="G446" t="s">
        <v>87</v>
      </c>
      <c r="H446" t="s">
        <v>29</v>
      </c>
      <c r="I446" s="49">
        <v>44008</v>
      </c>
      <c r="J446" s="47">
        <v>90946884.599999994</v>
      </c>
      <c r="K446">
        <v>660205.80000000005</v>
      </c>
      <c r="L446">
        <v>91555469.099999994</v>
      </c>
      <c r="M446">
        <v>1.660568</v>
      </c>
      <c r="N446">
        <v>1.5216670000000001</v>
      </c>
      <c r="O446" t="s">
        <v>42</v>
      </c>
      <c r="P446" t="s">
        <v>23</v>
      </c>
      <c r="Q446" s="49">
        <v>42181</v>
      </c>
      <c r="R446" s="49" t="str">
        <f>DataTable[HLD_Portfolio]&amp;DataTable[HLD_Date]</f>
        <v>SCBRM143381</v>
      </c>
    </row>
    <row r="447" spans="1:18" x14ac:dyDescent="0.2">
      <c r="A447" s="49">
        <v>43381</v>
      </c>
      <c r="B447" t="s">
        <v>386</v>
      </c>
      <c r="C447" t="s">
        <v>18</v>
      </c>
      <c r="D447" t="s">
        <v>112</v>
      </c>
      <c r="F447" t="s">
        <v>547</v>
      </c>
      <c r="G447" t="s">
        <v>548</v>
      </c>
      <c r="H447" t="s">
        <v>47</v>
      </c>
      <c r="I447" s="49">
        <v>44109</v>
      </c>
      <c r="J447" s="47">
        <v>19929216.199999999</v>
      </c>
      <c r="K447">
        <v>4997.2</v>
      </c>
      <c r="L447">
        <v>20000000</v>
      </c>
      <c r="M447">
        <v>1.9302490000000001</v>
      </c>
      <c r="N447">
        <v>2.2799999999999998</v>
      </c>
      <c r="O447" t="s">
        <v>42</v>
      </c>
      <c r="P447" t="s">
        <v>23</v>
      </c>
      <c r="Q447" s="49">
        <v>43013</v>
      </c>
      <c r="R447" s="49" t="str">
        <f>DataTable[HLD_Portfolio]&amp;DataTable[HLD_Date]</f>
        <v>SCBRM143381</v>
      </c>
    </row>
    <row r="448" spans="1:18" x14ac:dyDescent="0.2">
      <c r="A448" s="49">
        <v>43381</v>
      </c>
      <c r="B448" t="s">
        <v>386</v>
      </c>
      <c r="C448" t="s">
        <v>18</v>
      </c>
      <c r="D448" t="s">
        <v>112</v>
      </c>
      <c r="F448" t="s">
        <v>602</v>
      </c>
      <c r="G448" t="s">
        <v>603</v>
      </c>
      <c r="H448" t="s">
        <v>27</v>
      </c>
      <c r="I448" s="49">
        <v>44297</v>
      </c>
      <c r="J448" s="47">
        <v>6306847.3200000003</v>
      </c>
      <c r="K448">
        <v>135675.63</v>
      </c>
      <c r="L448">
        <v>6373547.8200000003</v>
      </c>
      <c r="M448">
        <v>2.3706480000000001</v>
      </c>
      <c r="N448">
        <v>2</v>
      </c>
      <c r="O448" t="s">
        <v>42</v>
      </c>
      <c r="P448" t="s">
        <v>23</v>
      </c>
      <c r="Q448" s="49">
        <v>41740</v>
      </c>
      <c r="R448" s="49" t="str">
        <f>DataTable[HLD_Portfolio]&amp;DataTable[HLD_Date]</f>
        <v>SCBRM143381</v>
      </c>
    </row>
    <row r="449" spans="1:18" x14ac:dyDescent="0.2">
      <c r="A449" s="49">
        <v>43381</v>
      </c>
      <c r="B449" t="s">
        <v>386</v>
      </c>
      <c r="C449" t="s">
        <v>18</v>
      </c>
      <c r="D449" t="s">
        <v>112</v>
      </c>
      <c r="F449" t="s">
        <v>604</v>
      </c>
      <c r="G449" t="s">
        <v>195</v>
      </c>
      <c r="H449" t="s">
        <v>51</v>
      </c>
      <c r="I449" s="49">
        <v>44016</v>
      </c>
      <c r="J449" s="47">
        <v>149960726.94999999</v>
      </c>
      <c r="K449">
        <v>1680093.25</v>
      </c>
      <c r="L449">
        <v>148160406.94999999</v>
      </c>
      <c r="M449">
        <v>1.657349</v>
      </c>
      <c r="N449">
        <v>3.05</v>
      </c>
      <c r="O449" t="s">
        <v>42</v>
      </c>
      <c r="P449" t="s">
        <v>23</v>
      </c>
      <c r="Q449" s="49">
        <v>41824</v>
      </c>
      <c r="R449" s="49" t="str">
        <f>DataTable[HLD_Portfolio]&amp;DataTable[HLD_Date]</f>
        <v>SCBRM143381</v>
      </c>
    </row>
    <row r="450" spans="1:18" x14ac:dyDescent="0.2">
      <c r="A450" s="49">
        <v>43381</v>
      </c>
      <c r="B450" t="s">
        <v>386</v>
      </c>
      <c r="C450" t="s">
        <v>18</v>
      </c>
      <c r="D450" t="s">
        <v>112</v>
      </c>
      <c r="F450" t="s">
        <v>605</v>
      </c>
      <c r="G450" t="s">
        <v>21</v>
      </c>
      <c r="H450" t="s">
        <v>320</v>
      </c>
      <c r="I450" s="49">
        <v>43400</v>
      </c>
      <c r="J450" s="47">
        <v>117027878.76000001</v>
      </c>
      <c r="K450">
        <v>1026073.62</v>
      </c>
      <c r="L450">
        <v>117024538.41</v>
      </c>
      <c r="M450">
        <v>4.8992000000000001E-2</v>
      </c>
      <c r="N450">
        <v>1.452564</v>
      </c>
      <c r="O450" t="s">
        <v>42</v>
      </c>
      <c r="P450" t="s">
        <v>23</v>
      </c>
      <c r="Q450" s="49">
        <v>42670</v>
      </c>
      <c r="R450" s="49" t="str">
        <f>DataTable[HLD_Portfolio]&amp;DataTable[HLD_Date]</f>
        <v>SCBRM143381</v>
      </c>
    </row>
    <row r="451" spans="1:18" x14ac:dyDescent="0.2">
      <c r="A451" s="49">
        <v>43381</v>
      </c>
      <c r="B451" t="s">
        <v>386</v>
      </c>
      <c r="C451" t="s">
        <v>18</v>
      </c>
      <c r="D451" t="s">
        <v>112</v>
      </c>
      <c r="F451" t="s">
        <v>606</v>
      </c>
      <c r="G451" t="s">
        <v>554</v>
      </c>
      <c r="H451" t="s">
        <v>47</v>
      </c>
      <c r="I451" s="49">
        <v>43640</v>
      </c>
      <c r="J451" s="47">
        <v>10021770.199999999</v>
      </c>
      <c r="K451">
        <v>65079.5</v>
      </c>
      <c r="L451">
        <v>10026188.6</v>
      </c>
      <c r="M451">
        <v>0.69611500000000004</v>
      </c>
      <c r="N451">
        <v>1.84</v>
      </c>
      <c r="O451" t="s">
        <v>42</v>
      </c>
      <c r="P451" t="s">
        <v>23</v>
      </c>
      <c r="Q451" s="49">
        <v>42545</v>
      </c>
      <c r="R451" s="49" t="str">
        <f>DataTable[HLD_Portfolio]&amp;DataTable[HLD_Date]</f>
        <v>SCBRM143381</v>
      </c>
    </row>
    <row r="452" spans="1:18" x14ac:dyDescent="0.2">
      <c r="A452" s="49">
        <v>43381</v>
      </c>
      <c r="B452" t="s">
        <v>386</v>
      </c>
      <c r="C452" t="s">
        <v>18</v>
      </c>
      <c r="D452" t="s">
        <v>112</v>
      </c>
      <c r="F452" t="s">
        <v>607</v>
      </c>
      <c r="G452" t="s">
        <v>258</v>
      </c>
      <c r="H452" t="s">
        <v>51</v>
      </c>
      <c r="I452" s="49">
        <v>43548</v>
      </c>
      <c r="J452" s="47">
        <v>32086887.039999999</v>
      </c>
      <c r="K452">
        <v>33534.400000000001</v>
      </c>
      <c r="L452">
        <v>32096941.760000002</v>
      </c>
      <c r="M452">
        <v>0.45035999999999998</v>
      </c>
      <c r="N452">
        <v>1.9</v>
      </c>
      <c r="O452" t="s">
        <v>42</v>
      </c>
      <c r="P452" t="s">
        <v>23</v>
      </c>
      <c r="Q452" s="49">
        <v>42818</v>
      </c>
      <c r="R452" s="49" t="str">
        <f>DataTable[HLD_Portfolio]&amp;DataTable[HLD_Date]</f>
        <v>SCBRM143381</v>
      </c>
    </row>
    <row r="453" spans="1:18" x14ac:dyDescent="0.2">
      <c r="A453" s="49">
        <v>43381</v>
      </c>
      <c r="B453" t="s">
        <v>386</v>
      </c>
      <c r="C453" t="s">
        <v>18</v>
      </c>
      <c r="D453" t="s">
        <v>112</v>
      </c>
      <c r="F453" t="s">
        <v>608</v>
      </c>
      <c r="G453" t="s">
        <v>258</v>
      </c>
      <c r="H453" t="s">
        <v>51</v>
      </c>
      <c r="I453" s="49">
        <v>43715</v>
      </c>
      <c r="J453" s="47">
        <v>80061275.200000003</v>
      </c>
      <c r="K453">
        <v>164120.79999999999</v>
      </c>
      <c r="L453">
        <v>80542416.799999997</v>
      </c>
      <c r="M453">
        <v>0.89233799999999996</v>
      </c>
      <c r="N453">
        <v>1.595</v>
      </c>
      <c r="O453" t="s">
        <v>42</v>
      </c>
      <c r="P453" t="s">
        <v>23</v>
      </c>
      <c r="Q453" s="49">
        <v>42620</v>
      </c>
      <c r="R453" s="49" t="str">
        <f>DataTable[HLD_Portfolio]&amp;DataTable[HLD_Date]</f>
        <v>SCBRM143381</v>
      </c>
    </row>
    <row r="454" spans="1:18" x14ac:dyDescent="0.2">
      <c r="A454" s="49">
        <v>43381</v>
      </c>
      <c r="B454" t="s">
        <v>386</v>
      </c>
      <c r="C454" t="s">
        <v>18</v>
      </c>
      <c r="D454" t="s">
        <v>112</v>
      </c>
      <c r="F454" t="s">
        <v>257</v>
      </c>
      <c r="G454" t="s">
        <v>258</v>
      </c>
      <c r="H454" t="s">
        <v>51</v>
      </c>
      <c r="I454" s="49">
        <v>43990</v>
      </c>
      <c r="J454" s="47">
        <v>245230990.90000001</v>
      </c>
      <c r="K454">
        <v>2237420.85</v>
      </c>
      <c r="L454">
        <v>245324811.19999999</v>
      </c>
      <c r="M454">
        <v>1.6034299999999999</v>
      </c>
      <c r="N454">
        <v>2.6245720000000001</v>
      </c>
      <c r="O454" t="s">
        <v>42</v>
      </c>
      <c r="P454" t="s">
        <v>23</v>
      </c>
      <c r="Q454" s="49">
        <v>42712</v>
      </c>
      <c r="R454" s="49" t="str">
        <f>DataTable[HLD_Portfolio]&amp;DataTable[HLD_Date]</f>
        <v>SCBRM143381</v>
      </c>
    </row>
    <row r="455" spans="1:18" x14ac:dyDescent="0.2">
      <c r="A455" s="49">
        <v>43381</v>
      </c>
      <c r="B455" t="s">
        <v>386</v>
      </c>
      <c r="C455" t="s">
        <v>18</v>
      </c>
      <c r="D455" t="s">
        <v>112</v>
      </c>
      <c r="F455" t="s">
        <v>555</v>
      </c>
      <c r="G455" t="s">
        <v>258</v>
      </c>
      <c r="H455" t="s">
        <v>51</v>
      </c>
      <c r="I455" s="49">
        <v>44446</v>
      </c>
      <c r="J455" s="47">
        <v>19914882.199999999</v>
      </c>
      <c r="K455">
        <v>47167.199999999997</v>
      </c>
      <c r="L455">
        <v>20307721</v>
      </c>
      <c r="M455">
        <v>2.770721</v>
      </c>
      <c r="N455">
        <v>2.145</v>
      </c>
      <c r="O455" t="s">
        <v>42</v>
      </c>
      <c r="P455" t="s">
        <v>23</v>
      </c>
      <c r="Q455" s="49">
        <v>42620</v>
      </c>
      <c r="R455" s="49" t="str">
        <f>DataTable[HLD_Portfolio]&amp;DataTable[HLD_Date]</f>
        <v>SCBRM143381</v>
      </c>
    </row>
    <row r="456" spans="1:18" x14ac:dyDescent="0.2">
      <c r="A456" s="49">
        <v>43381</v>
      </c>
      <c r="B456" t="s">
        <v>386</v>
      </c>
      <c r="C456" t="s">
        <v>18</v>
      </c>
      <c r="D456" t="s">
        <v>112</v>
      </c>
      <c r="F456" t="s">
        <v>560</v>
      </c>
      <c r="G456" t="s">
        <v>561</v>
      </c>
      <c r="H456" t="s">
        <v>47</v>
      </c>
      <c r="I456" s="49">
        <v>43779</v>
      </c>
      <c r="J456" s="47">
        <v>130687242.40000001</v>
      </c>
      <c r="K456">
        <v>1331769.3999999999</v>
      </c>
      <c r="L456">
        <v>131039145.90000001</v>
      </c>
      <c r="M456">
        <v>1.0592330000000001</v>
      </c>
      <c r="N456">
        <v>1.7050000000000001</v>
      </c>
      <c r="O456" t="s">
        <v>42</v>
      </c>
      <c r="P456" t="s">
        <v>23</v>
      </c>
      <c r="Q456" s="49">
        <v>42684</v>
      </c>
      <c r="R456" s="49" t="str">
        <f>DataTable[HLD_Portfolio]&amp;DataTable[HLD_Date]</f>
        <v>SCBRM143381</v>
      </c>
    </row>
    <row r="457" spans="1:18" x14ac:dyDescent="0.2">
      <c r="A457" s="49">
        <v>43381</v>
      </c>
      <c r="B457" t="s">
        <v>386</v>
      </c>
      <c r="C457" t="s">
        <v>18</v>
      </c>
      <c r="D457" t="s">
        <v>112</v>
      </c>
      <c r="F457" t="s">
        <v>562</v>
      </c>
      <c r="G457" t="s">
        <v>197</v>
      </c>
      <c r="H457" t="s">
        <v>47</v>
      </c>
      <c r="I457" s="49">
        <v>44191</v>
      </c>
      <c r="J457" s="47">
        <v>51640508.920000002</v>
      </c>
      <c r="K457">
        <v>335079.67999999999</v>
      </c>
      <c r="L457">
        <v>52000000</v>
      </c>
      <c r="M457">
        <v>2.1313840000000002</v>
      </c>
      <c r="N457">
        <v>2.2400000000000002</v>
      </c>
      <c r="O457" t="s">
        <v>42</v>
      </c>
      <c r="P457" t="s">
        <v>23</v>
      </c>
      <c r="Q457" s="49">
        <v>43095</v>
      </c>
      <c r="R457" s="49" t="str">
        <f>DataTable[HLD_Portfolio]&amp;DataTable[HLD_Date]</f>
        <v>SCBRM143381</v>
      </c>
    </row>
    <row r="458" spans="1:18" x14ac:dyDescent="0.2">
      <c r="A458" s="49">
        <v>43381</v>
      </c>
      <c r="B458" t="s">
        <v>386</v>
      </c>
      <c r="C458" t="s">
        <v>18</v>
      </c>
      <c r="D458" t="s">
        <v>112</v>
      </c>
      <c r="F458" t="s">
        <v>563</v>
      </c>
      <c r="G458" t="s">
        <v>564</v>
      </c>
      <c r="H458" t="s">
        <v>126</v>
      </c>
      <c r="I458" s="49">
        <v>43997</v>
      </c>
      <c r="J458" s="47">
        <v>376325769.95999998</v>
      </c>
      <c r="K458">
        <v>2678931.36</v>
      </c>
      <c r="L458">
        <v>378000000</v>
      </c>
      <c r="M458">
        <v>1.6302669999999999</v>
      </c>
      <c r="N458">
        <v>2.23</v>
      </c>
      <c r="O458" t="s">
        <v>42</v>
      </c>
      <c r="P458" t="s">
        <v>23</v>
      </c>
      <c r="Q458" s="49">
        <v>43266</v>
      </c>
      <c r="R458" s="49" t="str">
        <f>DataTable[HLD_Portfolio]&amp;DataTable[HLD_Date]</f>
        <v>SCBRM143381</v>
      </c>
    </row>
    <row r="459" spans="1:18" x14ac:dyDescent="0.2">
      <c r="A459" s="49">
        <v>43381</v>
      </c>
      <c r="B459" t="s">
        <v>386</v>
      </c>
      <c r="C459" t="s">
        <v>18</v>
      </c>
      <c r="D459" t="s">
        <v>112</v>
      </c>
      <c r="F459" t="s">
        <v>609</v>
      </c>
      <c r="G459" t="s">
        <v>114</v>
      </c>
      <c r="H459" t="s">
        <v>51</v>
      </c>
      <c r="I459" s="49">
        <v>43551</v>
      </c>
      <c r="J459" s="47">
        <v>42564390.369999997</v>
      </c>
      <c r="K459">
        <v>59516.77</v>
      </c>
      <c r="L459">
        <v>42478451.210000001</v>
      </c>
      <c r="M459">
        <v>0.45858300000000002</v>
      </c>
      <c r="N459">
        <v>2.3730410000000002</v>
      </c>
      <c r="O459" t="s">
        <v>42</v>
      </c>
      <c r="P459" t="s">
        <v>23</v>
      </c>
      <c r="Q459" s="49">
        <v>41725</v>
      </c>
      <c r="R459" s="49" t="str">
        <f>DataTable[HLD_Portfolio]&amp;DataTable[HLD_Date]</f>
        <v>SCBRM143381</v>
      </c>
    </row>
    <row r="460" spans="1:18" x14ac:dyDescent="0.2">
      <c r="A460" s="49">
        <v>43381</v>
      </c>
      <c r="B460" t="s">
        <v>386</v>
      </c>
      <c r="C460" t="s">
        <v>18</v>
      </c>
      <c r="D460" t="s">
        <v>112</v>
      </c>
      <c r="F460" t="s">
        <v>610</v>
      </c>
      <c r="G460" t="s">
        <v>114</v>
      </c>
      <c r="H460" t="s">
        <v>51</v>
      </c>
      <c r="I460" s="49">
        <v>43699</v>
      </c>
      <c r="J460" s="47">
        <v>101792912</v>
      </c>
      <c r="K460">
        <v>558904</v>
      </c>
      <c r="L460">
        <v>101455223</v>
      </c>
      <c r="M460">
        <v>0.85316499999999995</v>
      </c>
      <c r="N460">
        <v>2.5299999999999998</v>
      </c>
      <c r="O460" t="s">
        <v>42</v>
      </c>
      <c r="P460" t="s">
        <v>23</v>
      </c>
      <c r="Q460" s="49">
        <v>41873</v>
      </c>
      <c r="R460" s="49" t="str">
        <f>DataTable[HLD_Portfolio]&amp;DataTable[HLD_Date]</f>
        <v>SCBRM143381</v>
      </c>
    </row>
    <row r="461" spans="1:18" x14ac:dyDescent="0.2">
      <c r="A461" s="49">
        <v>43381</v>
      </c>
      <c r="B461" t="s">
        <v>386</v>
      </c>
      <c r="C461" t="s">
        <v>18</v>
      </c>
      <c r="D461" t="s">
        <v>112</v>
      </c>
      <c r="F461" t="s">
        <v>611</v>
      </c>
      <c r="G461" t="s">
        <v>114</v>
      </c>
      <c r="H461" t="s">
        <v>51</v>
      </c>
      <c r="I461" s="49">
        <v>44135</v>
      </c>
      <c r="J461" s="47">
        <v>5269788.7</v>
      </c>
      <c r="K461">
        <v>113178.1</v>
      </c>
      <c r="L461">
        <v>5196950.8499999996</v>
      </c>
      <c r="M461">
        <v>1.920461</v>
      </c>
      <c r="N461">
        <v>3.1</v>
      </c>
      <c r="O461" t="s">
        <v>42</v>
      </c>
      <c r="P461" t="s">
        <v>23</v>
      </c>
      <c r="Q461" s="49">
        <v>41578</v>
      </c>
      <c r="R461" s="49" t="str">
        <f>DataTable[HLD_Portfolio]&amp;DataTable[HLD_Date]</f>
        <v>SCBRM143381</v>
      </c>
    </row>
    <row r="462" spans="1:18" x14ac:dyDescent="0.2">
      <c r="A462" s="49">
        <v>43381</v>
      </c>
      <c r="B462" t="s">
        <v>386</v>
      </c>
      <c r="C462" t="s">
        <v>18</v>
      </c>
      <c r="D462" t="s">
        <v>112</v>
      </c>
      <c r="F462" t="s">
        <v>612</v>
      </c>
      <c r="G462" t="s">
        <v>199</v>
      </c>
      <c r="H462" t="s">
        <v>51</v>
      </c>
      <c r="I462" s="49">
        <v>43679</v>
      </c>
      <c r="J462" s="47">
        <v>23473498.239999998</v>
      </c>
      <c r="K462">
        <v>194535.84</v>
      </c>
      <c r="L462">
        <v>23422298.859999999</v>
      </c>
      <c r="M462">
        <v>0.79900199999999999</v>
      </c>
      <c r="N462">
        <v>2.2349999999999999</v>
      </c>
      <c r="O462" t="s">
        <v>42</v>
      </c>
      <c r="P462" t="s">
        <v>23</v>
      </c>
      <c r="Q462" s="49">
        <v>41488</v>
      </c>
      <c r="R462" s="49" t="str">
        <f>DataTable[HLD_Portfolio]&amp;DataTable[HLD_Date]</f>
        <v>SCBRM143381</v>
      </c>
    </row>
    <row r="463" spans="1:18" x14ac:dyDescent="0.2">
      <c r="A463" s="49">
        <v>43381</v>
      </c>
      <c r="B463" t="s">
        <v>386</v>
      </c>
      <c r="C463" t="s">
        <v>18</v>
      </c>
      <c r="D463" t="s">
        <v>112</v>
      </c>
      <c r="F463" t="s">
        <v>613</v>
      </c>
      <c r="G463" t="s">
        <v>199</v>
      </c>
      <c r="H463" t="s">
        <v>51</v>
      </c>
      <c r="I463" s="49">
        <v>43933</v>
      </c>
      <c r="J463" s="47">
        <v>270314147.69999999</v>
      </c>
      <c r="K463">
        <v>3035834.88</v>
      </c>
      <c r="L463">
        <v>270000000</v>
      </c>
      <c r="M463">
        <v>1.4751510000000001</v>
      </c>
      <c r="N463">
        <v>2.2799999999999998</v>
      </c>
      <c r="O463" t="s">
        <v>42</v>
      </c>
      <c r="P463" t="s">
        <v>23</v>
      </c>
      <c r="Q463" s="49">
        <v>42472</v>
      </c>
      <c r="R463" s="49" t="str">
        <f>DataTable[HLD_Portfolio]&amp;DataTable[HLD_Date]</f>
        <v>SCBRM143381</v>
      </c>
    </row>
    <row r="464" spans="1:18" x14ac:dyDescent="0.2">
      <c r="A464" s="49">
        <v>43381</v>
      </c>
      <c r="B464" t="s">
        <v>386</v>
      </c>
      <c r="C464" t="s">
        <v>18</v>
      </c>
      <c r="D464" t="s">
        <v>112</v>
      </c>
      <c r="F464" t="s">
        <v>614</v>
      </c>
      <c r="G464" t="s">
        <v>202</v>
      </c>
      <c r="H464" t="s">
        <v>51</v>
      </c>
      <c r="I464" s="49">
        <v>44027</v>
      </c>
      <c r="J464" s="47">
        <v>25049509.5</v>
      </c>
      <c r="K464">
        <v>147849.25</v>
      </c>
      <c r="L464">
        <v>25191415.25</v>
      </c>
      <c r="M464">
        <v>1.7112350000000001</v>
      </c>
      <c r="N464">
        <v>2.06</v>
      </c>
      <c r="O464" t="s">
        <v>42</v>
      </c>
      <c r="P464" t="s">
        <v>23</v>
      </c>
      <c r="Q464" s="49">
        <v>42566</v>
      </c>
      <c r="R464" s="49" t="str">
        <f>DataTable[HLD_Portfolio]&amp;DataTable[HLD_Date]</f>
        <v>SCBRM143381</v>
      </c>
    </row>
    <row r="465" spans="1:18" x14ac:dyDescent="0.2">
      <c r="A465" s="49">
        <v>43381</v>
      </c>
      <c r="B465" t="s">
        <v>386</v>
      </c>
      <c r="C465" t="s">
        <v>18</v>
      </c>
      <c r="D465" t="s">
        <v>112</v>
      </c>
      <c r="F465" t="s">
        <v>264</v>
      </c>
      <c r="G465" t="s">
        <v>263</v>
      </c>
      <c r="H465" t="s">
        <v>29</v>
      </c>
      <c r="I465" s="49">
        <v>44165</v>
      </c>
      <c r="J465" s="47">
        <v>25806781.260000002</v>
      </c>
      <c r="K465">
        <v>289604.38</v>
      </c>
      <c r="L465">
        <v>26000000</v>
      </c>
      <c r="M465">
        <v>2.032489</v>
      </c>
      <c r="N465">
        <v>3.08</v>
      </c>
      <c r="O465" t="s">
        <v>42</v>
      </c>
      <c r="P465" t="s">
        <v>23</v>
      </c>
      <c r="Q465" s="49">
        <v>43069</v>
      </c>
      <c r="R465" s="49" t="str">
        <f>DataTable[HLD_Portfolio]&amp;DataTable[HLD_Date]</f>
        <v>SCBRM143381</v>
      </c>
    </row>
    <row r="466" spans="1:18" x14ac:dyDescent="0.2">
      <c r="A466" s="49">
        <v>43381</v>
      </c>
      <c r="B466" t="s">
        <v>386</v>
      </c>
      <c r="C466" t="s">
        <v>18</v>
      </c>
      <c r="D466" t="s">
        <v>112</v>
      </c>
      <c r="F466" t="s">
        <v>576</v>
      </c>
      <c r="G466" t="s">
        <v>577</v>
      </c>
      <c r="H466" t="s">
        <v>41</v>
      </c>
      <c r="I466" s="49">
        <v>43955</v>
      </c>
      <c r="J466" s="47">
        <v>58321523</v>
      </c>
      <c r="K466">
        <v>652777.81999999995</v>
      </c>
      <c r="L466">
        <v>58000000</v>
      </c>
      <c r="M466">
        <v>1.5163009999999999</v>
      </c>
      <c r="N466">
        <v>2.6</v>
      </c>
      <c r="O466" t="s">
        <v>42</v>
      </c>
      <c r="P466" t="s">
        <v>23</v>
      </c>
      <c r="Q466" s="49">
        <v>42859</v>
      </c>
      <c r="R466" s="49" t="str">
        <f>DataTable[HLD_Portfolio]&amp;DataTable[HLD_Date]</f>
        <v>SCBRM143381</v>
      </c>
    </row>
    <row r="467" spans="1:18" x14ac:dyDescent="0.2">
      <c r="A467" s="49">
        <v>43381</v>
      </c>
      <c r="B467" t="s">
        <v>386</v>
      </c>
      <c r="C467" t="s">
        <v>18</v>
      </c>
      <c r="D467" t="s">
        <v>112</v>
      </c>
      <c r="F467" t="s">
        <v>615</v>
      </c>
      <c r="G467" t="s">
        <v>616</v>
      </c>
      <c r="H467" t="s">
        <v>320</v>
      </c>
      <c r="I467" s="49">
        <v>43729</v>
      </c>
      <c r="J467" s="47">
        <v>10000487</v>
      </c>
      <c r="K467">
        <v>9074</v>
      </c>
      <c r="L467">
        <v>10005389.4</v>
      </c>
      <c r="M467">
        <v>0.93341799999999997</v>
      </c>
      <c r="N467">
        <v>1.79</v>
      </c>
      <c r="O467" t="s">
        <v>42</v>
      </c>
      <c r="P467" t="s">
        <v>23</v>
      </c>
      <c r="Q467" s="49">
        <v>42999</v>
      </c>
      <c r="R467" s="49" t="str">
        <f>DataTable[HLD_Portfolio]&amp;DataTable[HLD_Date]</f>
        <v>SCBRM143381</v>
      </c>
    </row>
    <row r="468" spans="1:18" x14ac:dyDescent="0.2">
      <c r="A468" s="49">
        <v>43381</v>
      </c>
      <c r="B468" t="s">
        <v>386</v>
      </c>
      <c r="C468" t="s">
        <v>18</v>
      </c>
      <c r="D468" t="s">
        <v>112</v>
      </c>
      <c r="F468" t="s">
        <v>617</v>
      </c>
      <c r="G468" t="s">
        <v>616</v>
      </c>
      <c r="H468" t="s">
        <v>320</v>
      </c>
      <c r="I468" s="49">
        <v>43904</v>
      </c>
      <c r="J468" s="47">
        <v>162959959.56</v>
      </c>
      <c r="K468">
        <v>186466.36</v>
      </c>
      <c r="L468">
        <v>164000000</v>
      </c>
      <c r="M468">
        <v>1.40021</v>
      </c>
      <c r="N468">
        <v>1.66</v>
      </c>
      <c r="O468" t="s">
        <v>42</v>
      </c>
      <c r="P468" t="s">
        <v>23</v>
      </c>
      <c r="Q468" s="49">
        <v>43173</v>
      </c>
      <c r="R468" s="49" t="str">
        <f>DataTable[HLD_Portfolio]&amp;DataTable[HLD_Date]</f>
        <v>SCBRM143381</v>
      </c>
    </row>
    <row r="469" spans="1:18" x14ac:dyDescent="0.2">
      <c r="A469" s="49">
        <v>43381</v>
      </c>
      <c r="B469" t="s">
        <v>386</v>
      </c>
      <c r="C469" t="s">
        <v>18</v>
      </c>
      <c r="D469" t="s">
        <v>112</v>
      </c>
      <c r="F469" t="s">
        <v>618</v>
      </c>
      <c r="G469" t="s">
        <v>619</v>
      </c>
      <c r="H469" t="s">
        <v>47</v>
      </c>
      <c r="I469" s="49">
        <v>43903</v>
      </c>
      <c r="J469" s="47">
        <v>10158463.199999999</v>
      </c>
      <c r="K469">
        <v>24789</v>
      </c>
      <c r="L469">
        <v>10184110.300000001</v>
      </c>
      <c r="M469">
        <v>1.3831150000000001</v>
      </c>
      <c r="N469">
        <v>2.17</v>
      </c>
      <c r="O469" t="s">
        <v>42</v>
      </c>
      <c r="P469" t="s">
        <v>23</v>
      </c>
      <c r="Q469" s="49">
        <v>42076</v>
      </c>
      <c r="R469" s="49" t="str">
        <f>DataTable[HLD_Portfolio]&amp;DataTable[HLD_Date]</f>
        <v>SCBRM143381</v>
      </c>
    </row>
    <row r="470" spans="1:18" x14ac:dyDescent="0.2">
      <c r="A470" s="49">
        <v>43381</v>
      </c>
      <c r="B470" t="s">
        <v>386</v>
      </c>
      <c r="C470" t="s">
        <v>18</v>
      </c>
      <c r="D470" t="s">
        <v>112</v>
      </c>
      <c r="F470" t="s">
        <v>620</v>
      </c>
      <c r="G470" t="s">
        <v>621</v>
      </c>
      <c r="H470" t="s">
        <v>51</v>
      </c>
      <c r="I470" s="49">
        <v>43583</v>
      </c>
      <c r="J470" s="47">
        <v>350390173</v>
      </c>
      <c r="K470">
        <v>3491176.5</v>
      </c>
      <c r="L470">
        <v>350000000</v>
      </c>
      <c r="M470">
        <v>0.54113500000000003</v>
      </c>
      <c r="N470">
        <v>2.2000000000000002</v>
      </c>
      <c r="O470" t="s">
        <v>42</v>
      </c>
      <c r="P470" t="s">
        <v>23</v>
      </c>
      <c r="Q470" s="49">
        <v>42853</v>
      </c>
      <c r="R470" s="49" t="str">
        <f>DataTable[HLD_Portfolio]&amp;DataTable[HLD_Date]</f>
        <v>SCBRM143381</v>
      </c>
    </row>
    <row r="471" spans="1:18" x14ac:dyDescent="0.2">
      <c r="A471" s="49">
        <v>43381</v>
      </c>
      <c r="B471" t="s">
        <v>386</v>
      </c>
      <c r="C471" t="s">
        <v>18</v>
      </c>
      <c r="D471" t="s">
        <v>112</v>
      </c>
      <c r="F471" t="s">
        <v>226</v>
      </c>
      <c r="G471" t="s">
        <v>227</v>
      </c>
      <c r="H471" t="s">
        <v>126</v>
      </c>
      <c r="I471" s="49">
        <v>43738</v>
      </c>
      <c r="J471" s="47">
        <v>299678293.94999999</v>
      </c>
      <c r="K471">
        <v>126173.18</v>
      </c>
      <c r="L471">
        <v>301000000</v>
      </c>
      <c r="M471">
        <v>0.95664700000000003</v>
      </c>
      <c r="N471">
        <v>1.7</v>
      </c>
      <c r="O471" t="s">
        <v>42</v>
      </c>
      <c r="P471" t="s">
        <v>23</v>
      </c>
      <c r="Q471" s="49">
        <v>43189</v>
      </c>
      <c r="R471" s="49" t="str">
        <f>DataTable[HLD_Portfolio]&amp;DataTable[HLD_Date]</f>
        <v>SCBRM143381</v>
      </c>
    </row>
    <row r="472" spans="1:18" x14ac:dyDescent="0.2">
      <c r="A472" s="49">
        <v>43381</v>
      </c>
      <c r="B472" t="s">
        <v>386</v>
      </c>
      <c r="C472" t="s">
        <v>18</v>
      </c>
      <c r="D472" t="s">
        <v>112</v>
      </c>
      <c r="F472" t="s">
        <v>622</v>
      </c>
      <c r="G472" t="s">
        <v>623</v>
      </c>
      <c r="H472" t="s">
        <v>126</v>
      </c>
      <c r="I472" s="49">
        <v>44816</v>
      </c>
      <c r="J472" s="47">
        <v>49774783</v>
      </c>
      <c r="K472">
        <v>103561.5</v>
      </c>
      <c r="L472">
        <v>50721405</v>
      </c>
      <c r="M472">
        <v>3.6795119999999999</v>
      </c>
      <c r="N472">
        <v>2.415</v>
      </c>
      <c r="O472" t="s">
        <v>42</v>
      </c>
      <c r="P472" t="s">
        <v>23</v>
      </c>
      <c r="Q472" s="49">
        <v>42990</v>
      </c>
      <c r="R472" s="49" t="str">
        <f>DataTable[HLD_Portfolio]&amp;DataTable[HLD_Date]</f>
        <v>SCBRM143381</v>
      </c>
    </row>
    <row r="473" spans="1:18" x14ac:dyDescent="0.2">
      <c r="A473" s="49">
        <v>43381</v>
      </c>
      <c r="B473" t="s">
        <v>386</v>
      </c>
      <c r="C473" t="s">
        <v>18</v>
      </c>
      <c r="D473" t="s">
        <v>112</v>
      </c>
      <c r="F473" t="s">
        <v>624</v>
      </c>
      <c r="G473" t="s">
        <v>625</v>
      </c>
      <c r="H473" t="s">
        <v>47</v>
      </c>
      <c r="I473" s="49">
        <v>43538</v>
      </c>
      <c r="J473" s="47">
        <v>75749774.209999993</v>
      </c>
      <c r="K473">
        <v>228803.77</v>
      </c>
      <c r="L473">
        <v>75808811.129999995</v>
      </c>
      <c r="M473">
        <v>0.42353600000000002</v>
      </c>
      <c r="N473">
        <v>1.64</v>
      </c>
      <c r="O473" t="s">
        <v>42</v>
      </c>
      <c r="P473" t="s">
        <v>23</v>
      </c>
      <c r="Q473" s="49">
        <v>41712</v>
      </c>
      <c r="R473" s="49" t="str">
        <f>DataTable[HLD_Portfolio]&amp;DataTable[HLD_Date]</f>
        <v>SCBRM143381</v>
      </c>
    </row>
    <row r="474" spans="1:18" x14ac:dyDescent="0.2">
      <c r="A474" s="49">
        <v>43381</v>
      </c>
      <c r="B474" t="s">
        <v>386</v>
      </c>
      <c r="C474" t="s">
        <v>18</v>
      </c>
      <c r="D474" t="s">
        <v>112</v>
      </c>
      <c r="F474" t="s">
        <v>229</v>
      </c>
      <c r="G474" t="s">
        <v>81</v>
      </c>
      <c r="H474" t="s">
        <v>51</v>
      </c>
      <c r="I474" s="49">
        <v>43390</v>
      </c>
      <c r="J474" s="47">
        <v>95073569.319999993</v>
      </c>
      <c r="K474">
        <v>2063691.33</v>
      </c>
      <c r="L474">
        <v>95065533.730000004</v>
      </c>
      <c r="M474">
        <v>2.1759000000000001E-2</v>
      </c>
      <c r="N474">
        <v>1.8831519999999999</v>
      </c>
      <c r="O474" t="s">
        <v>42</v>
      </c>
      <c r="P474" t="s">
        <v>23</v>
      </c>
      <c r="Q474" s="49">
        <v>41564</v>
      </c>
      <c r="R474" s="49" t="str">
        <f>DataTable[HLD_Portfolio]&amp;DataTable[HLD_Date]</f>
        <v>SCBRM143381</v>
      </c>
    </row>
    <row r="475" spans="1:18" x14ac:dyDescent="0.2">
      <c r="A475" s="49">
        <v>43381</v>
      </c>
      <c r="B475" t="s">
        <v>386</v>
      </c>
      <c r="C475" t="s">
        <v>18</v>
      </c>
      <c r="D475" t="s">
        <v>112</v>
      </c>
      <c r="F475" t="s">
        <v>626</v>
      </c>
      <c r="G475" t="s">
        <v>579</v>
      </c>
      <c r="H475" t="s">
        <v>47</v>
      </c>
      <c r="I475" s="49">
        <v>43610</v>
      </c>
      <c r="J475" s="47">
        <v>70114069.200000003</v>
      </c>
      <c r="K475">
        <v>578027.1</v>
      </c>
      <c r="L475">
        <v>70250422.900000006</v>
      </c>
      <c r="M475">
        <v>0.61740200000000001</v>
      </c>
      <c r="N475">
        <v>1.61</v>
      </c>
      <c r="O475" t="s">
        <v>42</v>
      </c>
      <c r="P475" t="s">
        <v>23</v>
      </c>
      <c r="Q475" s="49">
        <v>42515</v>
      </c>
      <c r="R475" s="49" t="str">
        <f>DataTable[HLD_Portfolio]&amp;DataTable[HLD_Date]</f>
        <v>SCBRM143381</v>
      </c>
    </row>
    <row r="476" spans="1:18" x14ac:dyDescent="0.2">
      <c r="A476" s="49">
        <v>43381</v>
      </c>
      <c r="B476" t="s">
        <v>386</v>
      </c>
      <c r="C476" t="s">
        <v>18</v>
      </c>
      <c r="D476" t="s">
        <v>112</v>
      </c>
      <c r="F476" t="s">
        <v>578</v>
      </c>
      <c r="G476" t="s">
        <v>579</v>
      </c>
      <c r="H476" t="s">
        <v>47</v>
      </c>
      <c r="I476" s="49">
        <v>43813</v>
      </c>
      <c r="J476" s="47">
        <v>67873264.319999993</v>
      </c>
      <c r="K476">
        <v>431585.8</v>
      </c>
      <c r="L476">
        <v>68000000</v>
      </c>
      <c r="M476">
        <v>1.1538170000000001</v>
      </c>
      <c r="N476">
        <v>1.98</v>
      </c>
      <c r="O476" t="s">
        <v>42</v>
      </c>
      <c r="P476" t="s">
        <v>23</v>
      </c>
      <c r="Q476" s="49">
        <v>43083</v>
      </c>
      <c r="R476" s="49" t="str">
        <f>DataTable[HLD_Portfolio]&amp;DataTable[HLD_Date]</f>
        <v>SCBRM143381</v>
      </c>
    </row>
    <row r="477" spans="1:18" x14ac:dyDescent="0.2">
      <c r="A477" s="49">
        <v>43381</v>
      </c>
      <c r="B477" t="s">
        <v>386</v>
      </c>
      <c r="C477" t="s">
        <v>18</v>
      </c>
      <c r="D477" t="s">
        <v>112</v>
      </c>
      <c r="F477" t="s">
        <v>627</v>
      </c>
      <c r="G477" t="s">
        <v>628</v>
      </c>
      <c r="H477" t="s">
        <v>126</v>
      </c>
      <c r="I477" s="49">
        <v>43392</v>
      </c>
      <c r="J477" s="47">
        <v>10003323</v>
      </c>
      <c r="K477">
        <v>142191.79999999999</v>
      </c>
      <c r="L477">
        <v>10003377.6</v>
      </c>
      <c r="M477">
        <v>2.7196999999999999E-2</v>
      </c>
      <c r="N477">
        <v>1.6</v>
      </c>
      <c r="O477" t="s">
        <v>42</v>
      </c>
      <c r="P477" t="s">
        <v>23</v>
      </c>
      <c r="Q477" s="49">
        <v>42116</v>
      </c>
      <c r="R477" s="49" t="str">
        <f>DataTable[HLD_Portfolio]&amp;DataTable[HLD_Date]</f>
        <v>SCBRM143381</v>
      </c>
    </row>
    <row r="478" spans="1:18" x14ac:dyDescent="0.2">
      <c r="A478" s="49">
        <v>43381</v>
      </c>
      <c r="B478" t="s">
        <v>386</v>
      </c>
      <c r="C478" t="s">
        <v>18</v>
      </c>
      <c r="D478" t="s">
        <v>112</v>
      </c>
      <c r="F478" t="s">
        <v>629</v>
      </c>
      <c r="G478" t="s">
        <v>231</v>
      </c>
      <c r="H478" t="s">
        <v>47</v>
      </c>
      <c r="I478" s="49">
        <v>43545</v>
      </c>
      <c r="J478" s="47">
        <v>30023651.699999999</v>
      </c>
      <c r="K478">
        <v>37068.6</v>
      </c>
      <c r="L478">
        <v>30042964.199999999</v>
      </c>
      <c r="M478">
        <v>0.443185</v>
      </c>
      <c r="N478">
        <v>1.73</v>
      </c>
      <c r="O478" t="s">
        <v>42</v>
      </c>
      <c r="P478" t="s">
        <v>23</v>
      </c>
      <c r="Q478" s="49">
        <v>42446</v>
      </c>
      <c r="R478" s="49" t="str">
        <f>DataTable[HLD_Portfolio]&amp;DataTable[HLD_Date]</f>
        <v>SCBRM143381</v>
      </c>
    </row>
    <row r="479" spans="1:18" x14ac:dyDescent="0.2">
      <c r="A479" s="49">
        <v>43381</v>
      </c>
      <c r="B479" t="s">
        <v>386</v>
      </c>
      <c r="C479" t="s">
        <v>18</v>
      </c>
      <c r="D479" t="s">
        <v>112</v>
      </c>
      <c r="F479" t="s">
        <v>630</v>
      </c>
      <c r="G479" t="s">
        <v>231</v>
      </c>
      <c r="H479" t="s">
        <v>47</v>
      </c>
      <c r="I479" s="49">
        <v>43798</v>
      </c>
      <c r="J479" s="47">
        <v>140751179.80000001</v>
      </c>
      <c r="K479">
        <v>675873.8</v>
      </c>
      <c r="L479">
        <v>140000000</v>
      </c>
      <c r="M479">
        <v>1.117729</v>
      </c>
      <c r="N479">
        <v>2.63</v>
      </c>
      <c r="O479" t="s">
        <v>42</v>
      </c>
      <c r="P479" t="s">
        <v>23</v>
      </c>
      <c r="Q479" s="49">
        <v>42769</v>
      </c>
      <c r="R479" s="49" t="str">
        <f>DataTable[HLD_Portfolio]&amp;DataTable[HLD_Date]</f>
        <v>SCBRM143381</v>
      </c>
    </row>
    <row r="480" spans="1:18" x14ac:dyDescent="0.2">
      <c r="A480" s="49">
        <v>43381</v>
      </c>
      <c r="B480" t="s">
        <v>386</v>
      </c>
      <c r="C480" t="s">
        <v>18</v>
      </c>
      <c r="D480" t="s">
        <v>112</v>
      </c>
      <c r="F480" t="s">
        <v>631</v>
      </c>
      <c r="G480" t="s">
        <v>632</v>
      </c>
      <c r="H480" t="s">
        <v>59</v>
      </c>
      <c r="I480" s="49">
        <v>43600</v>
      </c>
      <c r="J480" s="47">
        <v>10197675.5</v>
      </c>
      <c r="K480">
        <v>205397.3</v>
      </c>
      <c r="L480">
        <v>10182091.9</v>
      </c>
      <c r="M480">
        <v>0.58404500000000004</v>
      </c>
      <c r="N480">
        <v>2</v>
      </c>
      <c r="O480" t="s">
        <v>42</v>
      </c>
      <c r="P480" t="s">
        <v>23</v>
      </c>
      <c r="Q480" s="49">
        <v>41050</v>
      </c>
      <c r="R480" s="49" t="str">
        <f>DataTable[HLD_Portfolio]&amp;DataTable[HLD_Date]</f>
        <v>SCBRM143381</v>
      </c>
    </row>
    <row r="481" spans="1:18" x14ac:dyDescent="0.2">
      <c r="A481" s="49">
        <v>43381</v>
      </c>
      <c r="B481" t="s">
        <v>386</v>
      </c>
      <c r="C481" t="s">
        <v>18</v>
      </c>
      <c r="D481" t="s">
        <v>112</v>
      </c>
      <c r="F481" t="s">
        <v>633</v>
      </c>
      <c r="G481" t="s">
        <v>233</v>
      </c>
      <c r="H481" t="s">
        <v>126</v>
      </c>
      <c r="I481" s="49">
        <v>43580</v>
      </c>
      <c r="J481" s="47">
        <v>219351626.69</v>
      </c>
      <c r="K481">
        <v>1967506.8</v>
      </c>
      <c r="L481">
        <v>219419772.33000001</v>
      </c>
      <c r="M481">
        <v>0.53365799999999997</v>
      </c>
      <c r="N481">
        <v>1.9375720000000001</v>
      </c>
      <c r="O481" t="s">
        <v>42</v>
      </c>
      <c r="P481" t="s">
        <v>23</v>
      </c>
      <c r="Q481" s="49">
        <v>42485</v>
      </c>
      <c r="R481" s="49" t="str">
        <f>DataTable[HLD_Portfolio]&amp;DataTable[HLD_Date]</f>
        <v>SCBRM143381</v>
      </c>
    </row>
    <row r="482" spans="1:18" x14ac:dyDescent="0.2">
      <c r="A482" s="49">
        <v>43381</v>
      </c>
      <c r="B482" t="s">
        <v>386</v>
      </c>
      <c r="C482" t="s">
        <v>18</v>
      </c>
      <c r="D482" t="s">
        <v>112</v>
      </c>
      <c r="F482" t="s">
        <v>634</v>
      </c>
      <c r="G482" t="s">
        <v>233</v>
      </c>
      <c r="H482" t="s">
        <v>126</v>
      </c>
      <c r="I482" s="49">
        <v>43685</v>
      </c>
      <c r="J482" s="47">
        <v>50930195.5</v>
      </c>
      <c r="K482">
        <v>372000</v>
      </c>
      <c r="L482">
        <v>50733779</v>
      </c>
      <c r="M482">
        <v>0.81511500000000003</v>
      </c>
      <c r="N482">
        <v>2.5649999999999999</v>
      </c>
      <c r="O482" t="s">
        <v>42</v>
      </c>
      <c r="P482" t="s">
        <v>23</v>
      </c>
      <c r="Q482" s="49">
        <v>41859</v>
      </c>
      <c r="R482" s="49" t="str">
        <f>DataTable[HLD_Portfolio]&amp;DataTable[HLD_Date]</f>
        <v>SCBRM143381</v>
      </c>
    </row>
    <row r="483" spans="1:18" x14ac:dyDescent="0.2">
      <c r="A483" s="49">
        <v>43381</v>
      </c>
      <c r="B483" t="s">
        <v>386</v>
      </c>
      <c r="C483" t="s">
        <v>18</v>
      </c>
      <c r="D483" t="s">
        <v>112</v>
      </c>
      <c r="F483" t="s">
        <v>232</v>
      </c>
      <c r="G483" t="s">
        <v>233</v>
      </c>
      <c r="H483" t="s">
        <v>126</v>
      </c>
      <c r="I483" s="49">
        <v>44260</v>
      </c>
      <c r="J483" s="47">
        <v>42512281.100000001</v>
      </c>
      <c r="K483">
        <v>86518.15</v>
      </c>
      <c r="L483">
        <v>43000000</v>
      </c>
      <c r="M483">
        <v>2.3187419999999999</v>
      </c>
      <c r="N483">
        <v>2.16</v>
      </c>
      <c r="O483" t="s">
        <v>42</v>
      </c>
      <c r="P483" t="s">
        <v>23</v>
      </c>
      <c r="Q483" s="49">
        <v>43164</v>
      </c>
      <c r="R483" s="49" t="str">
        <f>DataTable[HLD_Portfolio]&amp;DataTable[HLD_Date]</f>
        <v>SCBRM143381</v>
      </c>
    </row>
    <row r="484" spans="1:18" x14ac:dyDescent="0.2">
      <c r="A484" s="49">
        <v>43381</v>
      </c>
      <c r="B484" t="s">
        <v>386</v>
      </c>
      <c r="C484" t="s">
        <v>18</v>
      </c>
      <c r="D484" t="s">
        <v>112</v>
      </c>
      <c r="F484" t="s">
        <v>635</v>
      </c>
      <c r="G484" t="s">
        <v>636</v>
      </c>
      <c r="H484" t="s">
        <v>537</v>
      </c>
      <c r="I484" s="49">
        <v>43960</v>
      </c>
      <c r="J484" s="47">
        <v>10018657.699999999</v>
      </c>
      <c r="K484">
        <v>104375.3</v>
      </c>
      <c r="L484">
        <v>10000000</v>
      </c>
      <c r="M484">
        <v>1.530321</v>
      </c>
      <c r="N484">
        <v>2.4900000000000002</v>
      </c>
      <c r="O484" t="s">
        <v>42</v>
      </c>
      <c r="P484" t="s">
        <v>23</v>
      </c>
      <c r="Q484" s="49">
        <v>42864</v>
      </c>
      <c r="R484" s="49" t="str">
        <f>DataTable[HLD_Portfolio]&amp;DataTable[HLD_Date]</f>
        <v>SCBRM143381</v>
      </c>
    </row>
    <row r="485" spans="1:18" x14ac:dyDescent="0.2">
      <c r="A485" s="49">
        <v>43381</v>
      </c>
      <c r="B485" t="s">
        <v>386</v>
      </c>
      <c r="C485" t="s">
        <v>18</v>
      </c>
      <c r="D485" t="s">
        <v>112</v>
      </c>
      <c r="F485" t="s">
        <v>238</v>
      </c>
      <c r="G485" t="s">
        <v>237</v>
      </c>
      <c r="H485" t="s">
        <v>206</v>
      </c>
      <c r="I485" s="49">
        <v>44277</v>
      </c>
      <c r="J485" s="47">
        <v>49374664.5</v>
      </c>
      <c r="K485">
        <v>48904</v>
      </c>
      <c r="L485">
        <v>50000000</v>
      </c>
      <c r="M485">
        <v>2.3663370000000001</v>
      </c>
      <c r="N485">
        <v>2.1</v>
      </c>
      <c r="O485" t="s">
        <v>42</v>
      </c>
      <c r="P485" t="s">
        <v>23</v>
      </c>
      <c r="Q485" s="49">
        <v>43181</v>
      </c>
      <c r="R485" s="49" t="str">
        <f>DataTable[HLD_Portfolio]&amp;DataTable[HLD_Date]</f>
        <v>SCBRM143381</v>
      </c>
    </row>
    <row r="486" spans="1:18" x14ac:dyDescent="0.2">
      <c r="A486" s="49">
        <v>43381</v>
      </c>
      <c r="B486" t="s">
        <v>386</v>
      </c>
      <c r="C486" t="s">
        <v>18</v>
      </c>
      <c r="D486" t="s">
        <v>112</v>
      </c>
      <c r="F486" t="s">
        <v>637</v>
      </c>
      <c r="G486" t="s">
        <v>237</v>
      </c>
      <c r="H486" t="s">
        <v>206</v>
      </c>
      <c r="I486" s="49">
        <v>44639</v>
      </c>
      <c r="J486" s="47">
        <v>399659432</v>
      </c>
      <c r="K486">
        <v>701368</v>
      </c>
      <c r="L486">
        <v>400000000</v>
      </c>
      <c r="M486">
        <v>3.227789</v>
      </c>
      <c r="N486">
        <v>3.2</v>
      </c>
      <c r="O486" t="s">
        <v>42</v>
      </c>
      <c r="P486" t="s">
        <v>23</v>
      </c>
      <c r="Q486" s="49">
        <v>43362</v>
      </c>
      <c r="R486" s="49" t="str">
        <f>DataTable[HLD_Portfolio]&amp;DataTable[HLD_Date]</f>
        <v>SCBRM143381</v>
      </c>
    </row>
    <row r="487" spans="1:18" x14ac:dyDescent="0.2">
      <c r="A487" s="49">
        <v>43381</v>
      </c>
      <c r="B487" t="s">
        <v>386</v>
      </c>
      <c r="C487" t="s">
        <v>18</v>
      </c>
      <c r="D487" t="s">
        <v>112</v>
      </c>
      <c r="F487" t="s">
        <v>241</v>
      </c>
      <c r="G487" t="s">
        <v>71</v>
      </c>
      <c r="H487" t="s">
        <v>47</v>
      </c>
      <c r="I487" s="49">
        <v>43433</v>
      </c>
      <c r="J487" s="47">
        <v>220105586.80000001</v>
      </c>
      <c r="K487">
        <v>1483042</v>
      </c>
      <c r="L487">
        <v>220000000</v>
      </c>
      <c r="M487">
        <v>0.13869899999999999</v>
      </c>
      <c r="N487">
        <v>1.85</v>
      </c>
      <c r="O487" t="s">
        <v>42</v>
      </c>
      <c r="P487" t="s">
        <v>23</v>
      </c>
      <c r="Q487" s="49">
        <v>42884</v>
      </c>
      <c r="R487" s="49" t="str">
        <f>DataTable[HLD_Portfolio]&amp;DataTable[HLD_Date]</f>
        <v>SCBRM143381</v>
      </c>
    </row>
    <row r="488" spans="1:18" x14ac:dyDescent="0.2">
      <c r="A488" s="49">
        <v>43381</v>
      </c>
      <c r="B488" t="s">
        <v>386</v>
      </c>
      <c r="C488" t="s">
        <v>18</v>
      </c>
      <c r="D488" t="s">
        <v>112</v>
      </c>
      <c r="F488" t="s">
        <v>587</v>
      </c>
      <c r="G488" t="s">
        <v>71</v>
      </c>
      <c r="H488" t="s">
        <v>47</v>
      </c>
      <c r="I488" s="49">
        <v>43594</v>
      </c>
      <c r="J488" s="47">
        <v>649429098.5</v>
      </c>
      <c r="K488">
        <v>4768153</v>
      </c>
      <c r="L488">
        <v>650000000</v>
      </c>
      <c r="M488">
        <v>0.57516100000000003</v>
      </c>
      <c r="N488">
        <v>1.75</v>
      </c>
      <c r="O488" t="s">
        <v>42</v>
      </c>
      <c r="P488" t="s">
        <v>23</v>
      </c>
      <c r="Q488" s="49">
        <v>43048</v>
      </c>
      <c r="R488" s="49" t="str">
        <f>DataTable[HLD_Portfolio]&amp;DataTable[HLD_Date]</f>
        <v>SCBRM143381</v>
      </c>
    </row>
    <row r="489" spans="1:18" x14ac:dyDescent="0.2">
      <c r="A489" s="49">
        <v>43381</v>
      </c>
      <c r="B489" t="s">
        <v>386</v>
      </c>
      <c r="C489" t="s">
        <v>18</v>
      </c>
      <c r="D489" t="s">
        <v>112</v>
      </c>
      <c r="F489" t="s">
        <v>588</v>
      </c>
      <c r="G489" t="s">
        <v>245</v>
      </c>
      <c r="H489" t="s">
        <v>29</v>
      </c>
      <c r="I489" s="49">
        <v>43431</v>
      </c>
      <c r="J489" s="47">
        <v>22008019</v>
      </c>
      <c r="K489">
        <v>303708.46000000002</v>
      </c>
      <c r="L489">
        <v>22000000</v>
      </c>
      <c r="M489">
        <v>0.133906</v>
      </c>
      <c r="N489">
        <v>2.2799999999999998</v>
      </c>
      <c r="O489" t="s">
        <v>42</v>
      </c>
      <c r="P489" t="s">
        <v>23</v>
      </c>
      <c r="Q489" s="49">
        <v>43161</v>
      </c>
      <c r="R489" s="49" t="str">
        <f>DataTable[HLD_Portfolio]&amp;DataTable[HLD_Date]</f>
        <v>SCBRM143381</v>
      </c>
    </row>
    <row r="490" spans="1:18" x14ac:dyDescent="0.2">
      <c r="A490" s="49">
        <v>43381</v>
      </c>
      <c r="B490" t="s">
        <v>386</v>
      </c>
      <c r="C490" t="s">
        <v>18</v>
      </c>
      <c r="D490" t="s">
        <v>112</v>
      </c>
      <c r="F490" t="s">
        <v>638</v>
      </c>
      <c r="G490" t="s">
        <v>245</v>
      </c>
      <c r="H490" t="s">
        <v>29</v>
      </c>
      <c r="I490" s="49">
        <v>43494</v>
      </c>
      <c r="J490" s="47">
        <v>47020719.479999997</v>
      </c>
      <c r="K490">
        <v>467939.52</v>
      </c>
      <c r="L490">
        <v>47000000</v>
      </c>
      <c r="M490">
        <v>0.30485299999999999</v>
      </c>
      <c r="N490">
        <v>2.2999999999999998</v>
      </c>
      <c r="O490" t="s">
        <v>42</v>
      </c>
      <c r="P490" t="s">
        <v>23</v>
      </c>
      <c r="Q490" s="49">
        <v>43224</v>
      </c>
      <c r="R490" s="49" t="str">
        <f>DataTable[HLD_Portfolio]&amp;DataTable[HLD_Date]</f>
        <v>SCBRM143381</v>
      </c>
    </row>
    <row r="491" spans="1:18" x14ac:dyDescent="0.2">
      <c r="A491" s="49">
        <v>43381</v>
      </c>
      <c r="B491" t="s">
        <v>386</v>
      </c>
      <c r="C491" t="s">
        <v>18</v>
      </c>
      <c r="D491" t="s">
        <v>112</v>
      </c>
      <c r="F491" t="s">
        <v>590</v>
      </c>
      <c r="G491" t="s">
        <v>245</v>
      </c>
      <c r="H491" t="s">
        <v>29</v>
      </c>
      <c r="I491" s="49">
        <v>43494</v>
      </c>
      <c r="J491" s="47">
        <v>23010365.41</v>
      </c>
      <c r="K491">
        <v>194208.32</v>
      </c>
      <c r="L491">
        <v>23000000</v>
      </c>
      <c r="M491">
        <v>0.30485299999999999</v>
      </c>
      <c r="N491">
        <v>2.2999999999999998</v>
      </c>
      <c r="O491" t="s">
        <v>42</v>
      </c>
      <c r="P491" t="s">
        <v>23</v>
      </c>
      <c r="Q491" s="49">
        <v>43248</v>
      </c>
      <c r="R491" s="49" t="str">
        <f>DataTable[HLD_Portfolio]&amp;DataTable[HLD_Date]</f>
        <v>SCBRM143381</v>
      </c>
    </row>
    <row r="492" spans="1:18" x14ac:dyDescent="0.2">
      <c r="A492" s="49">
        <v>43381</v>
      </c>
      <c r="B492" t="s">
        <v>386</v>
      </c>
      <c r="C492" t="s">
        <v>18</v>
      </c>
      <c r="D492" t="s">
        <v>112</v>
      </c>
      <c r="F492" t="s">
        <v>244</v>
      </c>
      <c r="G492" t="s">
        <v>245</v>
      </c>
      <c r="H492" t="s">
        <v>29</v>
      </c>
      <c r="I492" s="49">
        <v>43518</v>
      </c>
      <c r="J492" s="47">
        <v>350056973</v>
      </c>
      <c r="K492">
        <v>6184549</v>
      </c>
      <c r="L492">
        <v>350000000</v>
      </c>
      <c r="M492">
        <v>0.36890699999999998</v>
      </c>
      <c r="N492">
        <v>2.78</v>
      </c>
      <c r="O492" t="s">
        <v>42</v>
      </c>
      <c r="P492" t="s">
        <v>23</v>
      </c>
      <c r="Q492" s="49">
        <v>43150</v>
      </c>
      <c r="R492" s="49" t="str">
        <f>DataTable[HLD_Portfolio]&amp;DataTable[HLD_Date]</f>
        <v>SCBRM143381</v>
      </c>
    </row>
    <row r="493" spans="1:18" x14ac:dyDescent="0.2">
      <c r="A493" s="49">
        <v>43381</v>
      </c>
      <c r="B493" t="s">
        <v>386</v>
      </c>
      <c r="C493" t="s">
        <v>18</v>
      </c>
      <c r="D493" t="s">
        <v>112</v>
      </c>
      <c r="F493" t="s">
        <v>248</v>
      </c>
      <c r="G493" t="s">
        <v>247</v>
      </c>
      <c r="H493" t="s">
        <v>29</v>
      </c>
      <c r="I493" s="49">
        <v>44410</v>
      </c>
      <c r="J493" s="47">
        <v>306694473.60000002</v>
      </c>
      <c r="K493">
        <v>2116197.0499999998</v>
      </c>
      <c r="L493">
        <v>307000000</v>
      </c>
      <c r="M493">
        <v>2.644279</v>
      </c>
      <c r="N493">
        <v>3.7</v>
      </c>
      <c r="O493" t="s">
        <v>42</v>
      </c>
      <c r="P493" t="s">
        <v>23</v>
      </c>
      <c r="Q493" s="49">
        <v>43314</v>
      </c>
      <c r="R493" s="49" t="str">
        <f>DataTable[HLD_Portfolio]&amp;DataTable[HLD_Date]</f>
        <v>SCBRM143381</v>
      </c>
    </row>
    <row r="494" spans="1:18" x14ac:dyDescent="0.2">
      <c r="A494" s="49">
        <v>43381</v>
      </c>
      <c r="B494" t="s">
        <v>386</v>
      </c>
      <c r="C494" t="s">
        <v>18</v>
      </c>
      <c r="D494" t="s">
        <v>112</v>
      </c>
      <c r="F494" t="s">
        <v>545</v>
      </c>
      <c r="G494" t="s">
        <v>546</v>
      </c>
      <c r="I494" s="49">
        <v>43959</v>
      </c>
      <c r="J494" s="47">
        <v>124661423.75</v>
      </c>
      <c r="K494">
        <v>1286848.75</v>
      </c>
      <c r="L494">
        <v>125000000</v>
      </c>
      <c r="M494">
        <v>1.526346</v>
      </c>
      <c r="N494">
        <v>2.44</v>
      </c>
      <c r="O494" t="s">
        <v>42</v>
      </c>
      <c r="P494" t="s">
        <v>23</v>
      </c>
      <c r="Q494" s="49">
        <v>42863</v>
      </c>
      <c r="R494" s="49" t="str">
        <f>DataTable[HLD_Portfolio]&amp;DataTable[HLD_Date]</f>
        <v>SCBRM143381</v>
      </c>
    </row>
    <row r="495" spans="1:18" x14ac:dyDescent="0.2">
      <c r="A495" s="49">
        <v>43381</v>
      </c>
      <c r="B495" t="s">
        <v>386</v>
      </c>
      <c r="C495" t="s">
        <v>18</v>
      </c>
      <c r="D495" t="s">
        <v>112</v>
      </c>
      <c r="F495" t="s">
        <v>639</v>
      </c>
      <c r="G495" t="s">
        <v>640</v>
      </c>
      <c r="I495" s="49">
        <v>43437</v>
      </c>
      <c r="J495" s="47">
        <v>800827.01</v>
      </c>
      <c r="K495">
        <v>6059.83</v>
      </c>
      <c r="L495">
        <v>800261.03</v>
      </c>
      <c r="M495">
        <v>0.149649</v>
      </c>
      <c r="N495">
        <v>1.9151210000000001</v>
      </c>
      <c r="O495" t="s">
        <v>42</v>
      </c>
      <c r="P495" t="s">
        <v>23</v>
      </c>
      <c r="Q495" s="49">
        <v>42341</v>
      </c>
      <c r="R495" s="49" t="str">
        <f>DataTable[HLD_Portfolio]&amp;DataTable[HLD_Date]</f>
        <v>SCBRM143381</v>
      </c>
    </row>
    <row r="496" spans="1:18" x14ac:dyDescent="0.2">
      <c r="A496" s="49">
        <v>43381</v>
      </c>
      <c r="B496" t="s">
        <v>386</v>
      </c>
      <c r="C496" t="s">
        <v>18</v>
      </c>
      <c r="D496" t="s">
        <v>112</v>
      </c>
      <c r="F496" t="s">
        <v>641</v>
      </c>
      <c r="G496" t="s">
        <v>642</v>
      </c>
      <c r="I496" s="49">
        <v>43848</v>
      </c>
      <c r="J496" s="47">
        <v>34856188.149999999</v>
      </c>
      <c r="K496">
        <v>92246.7</v>
      </c>
      <c r="L496">
        <v>35028131.600000001</v>
      </c>
      <c r="M496">
        <v>1.2549410000000001</v>
      </c>
      <c r="N496">
        <v>1.78</v>
      </c>
      <c r="O496" t="s">
        <v>42</v>
      </c>
      <c r="P496" t="s">
        <v>23</v>
      </c>
      <c r="Q496" s="49">
        <v>42965</v>
      </c>
      <c r="R496" s="49" t="str">
        <f>DataTable[HLD_Portfolio]&amp;DataTable[HLD_Date]</f>
        <v>SCBRM143381</v>
      </c>
    </row>
    <row r="497" spans="1:18" x14ac:dyDescent="0.2">
      <c r="A497" s="49">
        <v>43381</v>
      </c>
      <c r="B497" t="s">
        <v>386</v>
      </c>
      <c r="C497" t="s">
        <v>131</v>
      </c>
      <c r="D497" t="s">
        <v>313</v>
      </c>
      <c r="E497" t="s">
        <v>389</v>
      </c>
      <c r="F497" t="s">
        <v>98</v>
      </c>
      <c r="I497" s="49"/>
      <c r="J497" s="47">
        <v>19976105.199999999</v>
      </c>
      <c r="L497">
        <v>19976105.199999999</v>
      </c>
      <c r="N497">
        <v>0</v>
      </c>
      <c r="O497" t="s">
        <v>42</v>
      </c>
      <c r="P497" t="s">
        <v>23</v>
      </c>
      <c r="Q497" s="49">
        <v>43328</v>
      </c>
      <c r="R497" s="49" t="str">
        <f>DataTable[HLD_Portfolio]&amp;DataTable[HLD_Date]</f>
        <v>SCBRM143381</v>
      </c>
    </row>
    <row r="498" spans="1:18" x14ac:dyDescent="0.2">
      <c r="A498" s="49">
        <v>43381</v>
      </c>
      <c r="B498" t="s">
        <v>386</v>
      </c>
      <c r="C498" t="s">
        <v>131</v>
      </c>
      <c r="D498" t="s">
        <v>310</v>
      </c>
      <c r="E498" t="s">
        <v>389</v>
      </c>
      <c r="F498" t="s">
        <v>20</v>
      </c>
      <c r="I498" s="49"/>
      <c r="J498" s="47">
        <v>3359847.83</v>
      </c>
      <c r="L498">
        <v>3359847.83</v>
      </c>
      <c r="M498">
        <v>0</v>
      </c>
      <c r="N498">
        <v>0</v>
      </c>
      <c r="O498" t="s">
        <v>22</v>
      </c>
      <c r="P498" t="s">
        <v>23</v>
      </c>
      <c r="Q498" s="49">
        <v>2</v>
      </c>
      <c r="R498" s="49" t="str">
        <f>DataTable[HLD_Portfolio]&amp;DataTable[HLD_Date]</f>
        <v>SCBRM143381</v>
      </c>
    </row>
    <row r="499" spans="1:18" x14ac:dyDescent="0.2">
      <c r="A499" s="49">
        <v>43381</v>
      </c>
      <c r="B499" t="s">
        <v>386</v>
      </c>
      <c r="C499" t="s">
        <v>131</v>
      </c>
      <c r="D499" t="s">
        <v>310</v>
      </c>
      <c r="E499" t="s">
        <v>643</v>
      </c>
      <c r="F499" t="s">
        <v>20</v>
      </c>
      <c r="I499" s="49"/>
      <c r="J499" s="47">
        <v>380534.2</v>
      </c>
      <c r="L499">
        <v>380534.2</v>
      </c>
      <c r="M499">
        <v>0</v>
      </c>
      <c r="N499">
        <v>0</v>
      </c>
      <c r="O499" t="s">
        <v>22</v>
      </c>
      <c r="P499" t="s">
        <v>23</v>
      </c>
      <c r="Q499" s="49">
        <v>2</v>
      </c>
      <c r="R499" s="49" t="str">
        <f>DataTable[HLD_Portfolio]&amp;DataTable[HLD_Date]</f>
        <v>SCBRM143381</v>
      </c>
    </row>
    <row r="500" spans="1:18" x14ac:dyDescent="0.2">
      <c r="A500" s="49">
        <v>43381</v>
      </c>
      <c r="B500" t="s">
        <v>386</v>
      </c>
      <c r="C500" t="s">
        <v>131</v>
      </c>
      <c r="D500" t="s">
        <v>310</v>
      </c>
      <c r="E500" t="s">
        <v>644</v>
      </c>
      <c r="F500" t="s">
        <v>20</v>
      </c>
      <c r="I500" s="49"/>
      <c r="J500" s="47">
        <v>200000</v>
      </c>
      <c r="L500">
        <v>200000</v>
      </c>
      <c r="M500">
        <v>0</v>
      </c>
      <c r="N500">
        <v>0</v>
      </c>
      <c r="O500" t="s">
        <v>22</v>
      </c>
      <c r="P500" t="s">
        <v>23</v>
      </c>
      <c r="Q500" s="49">
        <v>2</v>
      </c>
      <c r="R500" s="49" t="str">
        <f>DataTable[HLD_Portfolio]&amp;DataTable[HLD_Date]</f>
        <v>SCBRM143381</v>
      </c>
    </row>
    <row r="501" spans="1:18" x14ac:dyDescent="0.2">
      <c r="A501" s="49">
        <v>43381</v>
      </c>
      <c r="B501" t="s">
        <v>386</v>
      </c>
      <c r="C501" t="s">
        <v>132</v>
      </c>
      <c r="D501" t="s">
        <v>133</v>
      </c>
      <c r="E501" t="s">
        <v>389</v>
      </c>
      <c r="F501" t="s">
        <v>388</v>
      </c>
      <c r="I501" s="49"/>
      <c r="J501" s="47">
        <v>-319850430.75999999</v>
      </c>
      <c r="L501">
        <v>-319850430.75999999</v>
      </c>
      <c r="N501">
        <v>0</v>
      </c>
      <c r="O501" t="s">
        <v>42</v>
      </c>
      <c r="P501" t="s">
        <v>23</v>
      </c>
      <c r="Q501" s="49">
        <v>43382</v>
      </c>
      <c r="R501" s="49" t="str">
        <f>DataTable[HLD_Portfolio]&amp;DataTable[HLD_Date]</f>
        <v>SCBRM143381</v>
      </c>
    </row>
    <row r="502" spans="1:18" x14ac:dyDescent="0.2">
      <c r="A502" s="49">
        <v>43381</v>
      </c>
      <c r="B502" t="s">
        <v>386</v>
      </c>
      <c r="C502" t="s">
        <v>132</v>
      </c>
      <c r="D502" t="s">
        <v>134</v>
      </c>
      <c r="E502" t="s">
        <v>134</v>
      </c>
      <c r="F502" t="s">
        <v>134</v>
      </c>
      <c r="I502" s="49"/>
      <c r="J502" s="47">
        <v>-62795.07</v>
      </c>
      <c r="N502">
        <v>0</v>
      </c>
      <c r="Q502" s="49"/>
      <c r="R502" s="49" t="str">
        <f>DataTable[HLD_Portfolio]&amp;DataTable[HLD_Date]</f>
        <v>SCBRM143381</v>
      </c>
    </row>
    <row r="503" spans="1:18" x14ac:dyDescent="0.2">
      <c r="A503" s="49">
        <v>43381</v>
      </c>
      <c r="B503" t="s">
        <v>386</v>
      </c>
      <c r="C503" t="s">
        <v>132</v>
      </c>
      <c r="D503" t="s">
        <v>645</v>
      </c>
      <c r="E503" t="s">
        <v>389</v>
      </c>
      <c r="F503" t="s">
        <v>20</v>
      </c>
      <c r="I503" s="49"/>
      <c r="J503" s="47">
        <v>-0.21</v>
      </c>
      <c r="L503">
        <v>-0.21</v>
      </c>
      <c r="M503">
        <v>0</v>
      </c>
      <c r="N503">
        <v>0</v>
      </c>
      <c r="O503" t="s">
        <v>22</v>
      </c>
      <c r="P503" t="s">
        <v>23</v>
      </c>
      <c r="Q503" s="49">
        <v>2</v>
      </c>
      <c r="R503" s="49" t="str">
        <f>DataTable[HLD_Portfolio]&amp;DataTable[HLD_Date]</f>
        <v>SCBRM143381</v>
      </c>
    </row>
    <row r="504" spans="1:18" x14ac:dyDescent="0.2">
      <c r="A504" s="49">
        <v>43381</v>
      </c>
      <c r="B504" t="s">
        <v>386</v>
      </c>
      <c r="C504" t="s">
        <v>132</v>
      </c>
      <c r="D504" t="s">
        <v>135</v>
      </c>
      <c r="I504" s="49"/>
      <c r="J504" s="47">
        <v>-157996.15</v>
      </c>
      <c r="K504">
        <v>0</v>
      </c>
      <c r="N504">
        <v>0</v>
      </c>
      <c r="Q504" s="49"/>
      <c r="R504" s="49" t="str">
        <f>DataTable[HLD_Portfolio]&amp;DataTable[HLD_Date]</f>
        <v>SCBRM143381</v>
      </c>
    </row>
    <row r="505" spans="1:18" x14ac:dyDescent="0.2">
      <c r="A505" s="49">
        <v>43381</v>
      </c>
      <c r="B505" t="s">
        <v>386</v>
      </c>
      <c r="C505" t="s">
        <v>132</v>
      </c>
      <c r="D505" t="s">
        <v>137</v>
      </c>
      <c r="E505" t="s">
        <v>137</v>
      </c>
      <c r="I505" s="49"/>
      <c r="J505" s="47">
        <v>-43175.91</v>
      </c>
      <c r="L505">
        <v>-43175.91</v>
      </c>
      <c r="N505">
        <v>0</v>
      </c>
      <c r="Q505" s="49"/>
      <c r="R505" s="49" t="str">
        <f>DataTable[HLD_Portfolio]&amp;DataTable[HLD_Date]</f>
        <v>SCBRM143381</v>
      </c>
    </row>
    <row r="506" spans="1:18" x14ac:dyDescent="0.2">
      <c r="A506" s="49">
        <v>43381</v>
      </c>
      <c r="B506" t="s">
        <v>386</v>
      </c>
      <c r="C506" t="s">
        <v>132</v>
      </c>
      <c r="D506" t="s">
        <v>138</v>
      </c>
      <c r="E506" t="s">
        <v>138</v>
      </c>
      <c r="I506" s="49"/>
      <c r="J506" s="47">
        <v>-717439.77</v>
      </c>
      <c r="L506">
        <v>-717439.77</v>
      </c>
      <c r="N506">
        <v>0</v>
      </c>
      <c r="Q506" s="49"/>
      <c r="R506" s="49" t="str">
        <f>DataTable[HLD_Portfolio]&amp;DataTable[HLD_Date]</f>
        <v>SCBRM143381</v>
      </c>
    </row>
    <row r="507" spans="1:18" x14ac:dyDescent="0.2">
      <c r="A507" s="49">
        <v>43381</v>
      </c>
      <c r="B507" t="s">
        <v>386</v>
      </c>
      <c r="C507" t="s">
        <v>132</v>
      </c>
      <c r="D507" t="s">
        <v>646</v>
      </c>
      <c r="E507" t="s">
        <v>646</v>
      </c>
      <c r="I507" s="49"/>
      <c r="J507" s="47">
        <v>-143919.70000000001</v>
      </c>
      <c r="L507">
        <v>-143919.70000000001</v>
      </c>
      <c r="N507">
        <v>0</v>
      </c>
      <c r="Q507" s="49"/>
      <c r="R507" s="49" t="str">
        <f>DataTable[HLD_Portfolio]&amp;DataTable[HLD_Date]</f>
        <v>SCBRM143381</v>
      </c>
    </row>
    <row r="508" spans="1:18" x14ac:dyDescent="0.2">
      <c r="A508" s="49">
        <v>43381</v>
      </c>
      <c r="B508" t="s">
        <v>386</v>
      </c>
      <c r="C508" t="s">
        <v>132</v>
      </c>
      <c r="D508" t="s">
        <v>139</v>
      </c>
      <c r="E508" t="s">
        <v>139</v>
      </c>
      <c r="I508" s="49"/>
      <c r="J508" s="47">
        <v>0</v>
      </c>
      <c r="L508">
        <v>0</v>
      </c>
      <c r="N508">
        <v>0</v>
      </c>
      <c r="Q508" s="49"/>
      <c r="R508" s="49" t="str">
        <f>DataTable[HLD_Portfolio]&amp;DataTable[HLD_Date]</f>
        <v>SCBRM143381</v>
      </c>
    </row>
    <row r="509" spans="1:18" x14ac:dyDescent="0.2">
      <c r="A509" s="49">
        <v>43381</v>
      </c>
      <c r="B509" t="s">
        <v>386</v>
      </c>
      <c r="C509" t="s">
        <v>140</v>
      </c>
      <c r="D509" t="s">
        <v>137</v>
      </c>
      <c r="E509" t="s">
        <v>137</v>
      </c>
      <c r="I509" s="49"/>
      <c r="J509" s="47">
        <v>-25887.32</v>
      </c>
      <c r="L509">
        <v>-25887.32</v>
      </c>
      <c r="N509">
        <v>0</v>
      </c>
      <c r="Q509" s="49"/>
      <c r="R509" s="49" t="str">
        <f>DataTable[HLD_Portfolio]&amp;DataTable[HLD_Date]</f>
        <v>SCBRM143381</v>
      </c>
    </row>
    <row r="510" spans="1:18" x14ac:dyDescent="0.2">
      <c r="A510" s="49">
        <v>43381</v>
      </c>
      <c r="B510" t="s">
        <v>386</v>
      </c>
      <c r="C510" t="s">
        <v>140</v>
      </c>
      <c r="D510" t="s">
        <v>138</v>
      </c>
      <c r="E510" t="s">
        <v>138</v>
      </c>
      <c r="I510" s="49"/>
      <c r="J510" s="47">
        <v>-430160.91</v>
      </c>
      <c r="L510">
        <v>-430160.91</v>
      </c>
      <c r="N510">
        <v>0</v>
      </c>
      <c r="Q510" s="49"/>
      <c r="R510" s="49" t="str">
        <f>DataTable[HLD_Portfolio]&amp;DataTable[HLD_Date]</f>
        <v>SCBRM143381</v>
      </c>
    </row>
    <row r="511" spans="1:18" x14ac:dyDescent="0.2">
      <c r="A511" s="49">
        <v>43381</v>
      </c>
      <c r="B511" t="s">
        <v>386</v>
      </c>
      <c r="C511" t="s">
        <v>140</v>
      </c>
      <c r="D511" t="s">
        <v>646</v>
      </c>
      <c r="E511" t="s">
        <v>646</v>
      </c>
      <c r="I511" s="49"/>
      <c r="J511" s="47">
        <v>-86291.06</v>
      </c>
      <c r="L511">
        <v>-86291.06</v>
      </c>
      <c r="N511">
        <v>0</v>
      </c>
      <c r="Q511" s="49"/>
      <c r="R511" s="49" t="str">
        <f>DataTable[HLD_Portfolio]&amp;DataTable[HLD_Date]</f>
        <v>SCBRM143381</v>
      </c>
    </row>
    <row r="512" spans="1:18" x14ac:dyDescent="0.2">
      <c r="A512" s="49">
        <v>43381</v>
      </c>
      <c r="B512" t="s">
        <v>386</v>
      </c>
      <c r="C512" t="s">
        <v>140</v>
      </c>
      <c r="D512" t="s">
        <v>139</v>
      </c>
      <c r="E512" t="s">
        <v>139</v>
      </c>
      <c r="I512" s="49"/>
      <c r="J512" s="47">
        <v>0</v>
      </c>
      <c r="L512">
        <v>0</v>
      </c>
      <c r="N512">
        <v>0</v>
      </c>
      <c r="Q512" s="49"/>
      <c r="R512" s="49" t="str">
        <f>DataTable[HLD_Portfolio]&amp;DataTable[HLD_Date]</f>
        <v>SCBRM143381</v>
      </c>
    </row>
    <row r="513" spans="1:18" x14ac:dyDescent="0.2">
      <c r="A513" s="49">
        <v>43381</v>
      </c>
      <c r="B513" t="s">
        <v>387</v>
      </c>
      <c r="C513" t="s">
        <v>18</v>
      </c>
      <c r="D513" t="s">
        <v>19</v>
      </c>
      <c r="F513" t="s">
        <v>20</v>
      </c>
      <c r="G513" t="s">
        <v>21</v>
      </c>
      <c r="I513" s="49"/>
      <c r="J513" s="47">
        <v>6592007.9299999997</v>
      </c>
      <c r="K513">
        <v>3164.97</v>
      </c>
      <c r="L513">
        <v>6592007.9299999997</v>
      </c>
      <c r="M513">
        <v>0</v>
      </c>
      <c r="N513">
        <v>0</v>
      </c>
      <c r="O513" t="s">
        <v>22</v>
      </c>
      <c r="P513" t="s">
        <v>23</v>
      </c>
      <c r="Q513" s="49">
        <v>2</v>
      </c>
      <c r="R513" s="49" t="str">
        <f>DataTable[HLD_Portfolio]&amp;DataTable[HLD_Date]</f>
        <v>SCBRM243381</v>
      </c>
    </row>
    <row r="514" spans="1:18" x14ac:dyDescent="0.2">
      <c r="A514" s="49">
        <v>43381</v>
      </c>
      <c r="B514" t="s">
        <v>387</v>
      </c>
      <c r="C514" t="s">
        <v>18</v>
      </c>
      <c r="D514" t="s">
        <v>38</v>
      </c>
      <c r="F514" t="s">
        <v>647</v>
      </c>
      <c r="G514" t="s">
        <v>40</v>
      </c>
      <c r="H514" t="s">
        <v>41</v>
      </c>
      <c r="I514" s="49">
        <v>43651</v>
      </c>
      <c r="J514" s="47">
        <v>120000000</v>
      </c>
      <c r="K514">
        <v>520767.12</v>
      </c>
      <c r="L514">
        <v>120000000</v>
      </c>
      <c r="M514">
        <v>0.73084400000000005</v>
      </c>
      <c r="N514">
        <v>1.65</v>
      </c>
      <c r="O514" t="s">
        <v>42</v>
      </c>
      <c r="P514" t="s">
        <v>23</v>
      </c>
      <c r="Q514" s="49">
        <v>43286</v>
      </c>
      <c r="R514" s="49" t="str">
        <f>DataTable[HLD_Portfolio]&amp;DataTable[HLD_Date]</f>
        <v>SCBRM243381</v>
      </c>
    </row>
    <row r="515" spans="1:18" x14ac:dyDescent="0.2">
      <c r="A515" s="49">
        <v>43381</v>
      </c>
      <c r="B515" t="s">
        <v>387</v>
      </c>
      <c r="C515" t="s">
        <v>18</v>
      </c>
      <c r="D515" t="s">
        <v>38</v>
      </c>
      <c r="F515" t="s">
        <v>648</v>
      </c>
      <c r="G515" t="s">
        <v>75</v>
      </c>
      <c r="H515" t="s">
        <v>59</v>
      </c>
      <c r="I515" s="49">
        <v>44196</v>
      </c>
      <c r="J515" s="47">
        <v>14128950.960000001</v>
      </c>
      <c r="K515">
        <v>66879.75</v>
      </c>
      <c r="L515">
        <v>14128950.960000001</v>
      </c>
      <c r="M515">
        <v>0</v>
      </c>
      <c r="N515">
        <v>0</v>
      </c>
      <c r="O515" t="s">
        <v>42</v>
      </c>
      <c r="P515" t="s">
        <v>23</v>
      </c>
      <c r="Q515" s="49">
        <v>38611</v>
      </c>
      <c r="R515" s="49" t="str">
        <f>DataTable[HLD_Portfolio]&amp;DataTable[HLD_Date]</f>
        <v>SCBRM243381</v>
      </c>
    </row>
    <row r="516" spans="1:18" x14ac:dyDescent="0.2">
      <c r="A516" s="49">
        <v>43381</v>
      </c>
      <c r="B516" t="s">
        <v>387</v>
      </c>
      <c r="C516" t="s">
        <v>18</v>
      </c>
      <c r="D516" t="s">
        <v>77</v>
      </c>
      <c r="F516" t="s">
        <v>596</v>
      </c>
      <c r="G516" t="s">
        <v>247</v>
      </c>
      <c r="H516" t="s">
        <v>29</v>
      </c>
      <c r="I516" s="49">
        <v>43550</v>
      </c>
      <c r="J516" s="47">
        <v>38571722.670000002</v>
      </c>
      <c r="L516">
        <v>38591459.009999998</v>
      </c>
      <c r="M516">
        <v>0.45521899999999998</v>
      </c>
      <c r="N516">
        <v>2.2999999999999998</v>
      </c>
      <c r="O516" t="s">
        <v>42</v>
      </c>
      <c r="P516" t="s">
        <v>23</v>
      </c>
      <c r="Q516" s="49">
        <v>43280</v>
      </c>
      <c r="R516" s="49" t="str">
        <f>DataTable[HLD_Portfolio]&amp;DataTable[HLD_Date]</f>
        <v>SCBRM243381</v>
      </c>
    </row>
    <row r="517" spans="1:18" x14ac:dyDescent="0.2">
      <c r="A517" s="49">
        <v>43381</v>
      </c>
      <c r="B517" t="s">
        <v>387</v>
      </c>
      <c r="C517" t="s">
        <v>18</v>
      </c>
      <c r="D517" t="s">
        <v>89</v>
      </c>
      <c r="F517" t="s">
        <v>317</v>
      </c>
      <c r="G517" t="s">
        <v>91</v>
      </c>
      <c r="I517" s="49">
        <v>43440</v>
      </c>
      <c r="J517" s="47">
        <v>82828896.329999998</v>
      </c>
      <c r="L517">
        <v>82821437.950000003</v>
      </c>
      <c r="M517">
        <v>0.15851100000000001</v>
      </c>
      <c r="N517">
        <v>1.356786</v>
      </c>
      <c r="O517" t="s">
        <v>42</v>
      </c>
      <c r="P517" t="s">
        <v>23</v>
      </c>
      <c r="Q517" s="49">
        <v>43076</v>
      </c>
      <c r="R517" s="49" t="str">
        <f>DataTable[HLD_Portfolio]&amp;DataTable[HLD_Date]</f>
        <v>SCBRM243381</v>
      </c>
    </row>
    <row r="518" spans="1:18" x14ac:dyDescent="0.2">
      <c r="A518" s="49">
        <v>43381</v>
      </c>
      <c r="B518" t="s">
        <v>387</v>
      </c>
      <c r="C518" t="s">
        <v>18</v>
      </c>
      <c r="D518" t="s">
        <v>89</v>
      </c>
      <c r="F518" t="s">
        <v>210</v>
      </c>
      <c r="G518" t="s">
        <v>91</v>
      </c>
      <c r="I518" s="49">
        <v>43447</v>
      </c>
      <c r="J518" s="47">
        <v>9975484.9000000004</v>
      </c>
      <c r="L518">
        <v>9975484.9000000004</v>
      </c>
      <c r="M518">
        <v>0.17763799999999999</v>
      </c>
      <c r="N518">
        <v>1.38</v>
      </c>
      <c r="O518" t="s">
        <v>42</v>
      </c>
      <c r="P518" t="s">
        <v>23</v>
      </c>
      <c r="Q518" s="49">
        <v>43265</v>
      </c>
      <c r="R518" s="49" t="str">
        <f>DataTable[HLD_Portfolio]&amp;DataTable[HLD_Date]</f>
        <v>SCBRM243381</v>
      </c>
    </row>
    <row r="519" spans="1:18" x14ac:dyDescent="0.2">
      <c r="A519" s="49">
        <v>43381</v>
      </c>
      <c r="B519" t="s">
        <v>387</v>
      </c>
      <c r="C519" t="s">
        <v>18</v>
      </c>
      <c r="D519" t="s">
        <v>89</v>
      </c>
      <c r="F519" t="s">
        <v>649</v>
      </c>
      <c r="G519" t="s">
        <v>91</v>
      </c>
      <c r="I519" s="49">
        <v>43454</v>
      </c>
      <c r="J519" s="47">
        <v>119695416</v>
      </c>
      <c r="L519">
        <v>119695416</v>
      </c>
      <c r="M519">
        <v>0.19675200000000001</v>
      </c>
      <c r="N519">
        <v>1.29</v>
      </c>
      <c r="O519" t="s">
        <v>42</v>
      </c>
      <c r="P519" t="s">
        <v>23</v>
      </c>
      <c r="Q519" s="49">
        <v>43272</v>
      </c>
      <c r="R519" s="49" t="str">
        <f>DataTable[HLD_Portfolio]&amp;DataTable[HLD_Date]</f>
        <v>SCBRM243381</v>
      </c>
    </row>
    <row r="520" spans="1:18" x14ac:dyDescent="0.2">
      <c r="A520" s="49">
        <v>43381</v>
      </c>
      <c r="B520" t="s">
        <v>387</v>
      </c>
      <c r="C520" t="s">
        <v>18</v>
      </c>
      <c r="D520" t="s">
        <v>89</v>
      </c>
      <c r="F520" t="s">
        <v>650</v>
      </c>
      <c r="G520" t="s">
        <v>91</v>
      </c>
      <c r="I520" s="49">
        <v>43461</v>
      </c>
      <c r="J520" s="47">
        <v>3988088.2</v>
      </c>
      <c r="L520">
        <v>3987313.8</v>
      </c>
      <c r="M520">
        <v>0.21571599999999999</v>
      </c>
      <c r="N520">
        <v>1.47</v>
      </c>
      <c r="O520" t="s">
        <v>42</v>
      </c>
      <c r="P520" t="s">
        <v>23</v>
      </c>
      <c r="Q520" s="49">
        <v>43279</v>
      </c>
      <c r="R520" s="49" t="str">
        <f>DataTable[HLD_Portfolio]&amp;DataTable[HLD_Date]</f>
        <v>SCBRM243381</v>
      </c>
    </row>
    <row r="521" spans="1:18" x14ac:dyDescent="0.2">
      <c r="A521" s="49">
        <v>43381</v>
      </c>
      <c r="B521" t="s">
        <v>387</v>
      </c>
      <c r="C521" t="s">
        <v>18</v>
      </c>
      <c r="D521" t="s">
        <v>89</v>
      </c>
      <c r="F521" t="s">
        <v>211</v>
      </c>
      <c r="G521" t="s">
        <v>91</v>
      </c>
      <c r="I521" s="49">
        <v>43461</v>
      </c>
      <c r="J521" s="47">
        <v>460624187.10000002</v>
      </c>
      <c r="L521">
        <v>460624884.72000003</v>
      </c>
      <c r="M521">
        <v>0.21576100000000001</v>
      </c>
      <c r="N521">
        <v>1.379297</v>
      </c>
      <c r="O521" t="s">
        <v>42</v>
      </c>
      <c r="P521" t="s">
        <v>23</v>
      </c>
      <c r="Q521" s="49">
        <v>43370</v>
      </c>
      <c r="R521" s="49" t="str">
        <f>DataTable[HLD_Portfolio]&amp;DataTable[HLD_Date]</f>
        <v>SCBRM243381</v>
      </c>
    </row>
    <row r="522" spans="1:18" x14ac:dyDescent="0.2">
      <c r="A522" s="49">
        <v>43381</v>
      </c>
      <c r="B522" t="s">
        <v>387</v>
      </c>
      <c r="C522" t="s">
        <v>18</v>
      </c>
      <c r="D522" t="s">
        <v>89</v>
      </c>
      <c r="F522" t="s">
        <v>212</v>
      </c>
      <c r="G522" t="s">
        <v>91</v>
      </c>
      <c r="I522" s="49">
        <v>43405</v>
      </c>
      <c r="J522" s="47">
        <v>99926958</v>
      </c>
      <c r="L522">
        <v>99926958</v>
      </c>
      <c r="M522">
        <v>6.2966999999999995E-2</v>
      </c>
      <c r="N522">
        <v>1.1599999999999999</v>
      </c>
      <c r="O522" t="s">
        <v>42</v>
      </c>
      <c r="P522" t="s">
        <v>23</v>
      </c>
      <c r="Q522" s="49">
        <v>43223</v>
      </c>
      <c r="R522" s="49" t="str">
        <f>DataTable[HLD_Portfolio]&amp;DataTable[HLD_Date]</f>
        <v>SCBRM243381</v>
      </c>
    </row>
    <row r="523" spans="1:18" x14ac:dyDescent="0.2">
      <c r="A523" s="49">
        <v>43381</v>
      </c>
      <c r="B523" t="s">
        <v>387</v>
      </c>
      <c r="C523" t="s">
        <v>18</v>
      </c>
      <c r="D523" t="s">
        <v>89</v>
      </c>
      <c r="F523" t="s">
        <v>101</v>
      </c>
      <c r="G523" t="s">
        <v>91</v>
      </c>
      <c r="I523" s="49">
        <v>43433</v>
      </c>
      <c r="J523" s="47">
        <v>5989274.2800000003</v>
      </c>
      <c r="L523">
        <v>5988703.5</v>
      </c>
      <c r="M523">
        <v>0.13947999999999999</v>
      </c>
      <c r="N523">
        <v>1.35</v>
      </c>
      <c r="O523" t="s">
        <v>42</v>
      </c>
      <c r="P523" t="s">
        <v>23</v>
      </c>
      <c r="Q523" s="49">
        <v>43251</v>
      </c>
      <c r="R523" s="49" t="str">
        <f>DataTable[HLD_Portfolio]&amp;DataTable[HLD_Date]</f>
        <v>SCBRM243381</v>
      </c>
    </row>
    <row r="524" spans="1:18" x14ac:dyDescent="0.2">
      <c r="A524" s="49">
        <v>43381</v>
      </c>
      <c r="B524" t="s">
        <v>387</v>
      </c>
      <c r="C524" t="s">
        <v>18</v>
      </c>
      <c r="D524" t="s">
        <v>89</v>
      </c>
      <c r="F524" t="s">
        <v>104</v>
      </c>
      <c r="G524" t="s">
        <v>91</v>
      </c>
      <c r="I524" s="49">
        <v>43384</v>
      </c>
      <c r="J524" s="47">
        <v>73995323.939999998</v>
      </c>
      <c r="L524">
        <v>73995323.939999998</v>
      </c>
      <c r="M524">
        <v>5.4790000000000004E-3</v>
      </c>
      <c r="N524">
        <v>1.153378</v>
      </c>
      <c r="O524" t="s">
        <v>42</v>
      </c>
      <c r="P524" t="s">
        <v>23</v>
      </c>
      <c r="Q524" s="49">
        <v>43202</v>
      </c>
      <c r="R524" s="49" t="str">
        <f>DataTable[HLD_Portfolio]&amp;DataTable[HLD_Date]</f>
        <v>SCBRM243381</v>
      </c>
    </row>
    <row r="525" spans="1:18" x14ac:dyDescent="0.2">
      <c r="A525" s="49">
        <v>43381</v>
      </c>
      <c r="B525" t="s">
        <v>387</v>
      </c>
      <c r="C525" t="s">
        <v>18</v>
      </c>
      <c r="D525" t="s">
        <v>89</v>
      </c>
      <c r="F525" t="s">
        <v>106</v>
      </c>
      <c r="G525" t="s">
        <v>91</v>
      </c>
      <c r="I525" s="49">
        <v>43389</v>
      </c>
      <c r="J525" s="47">
        <v>149968075.5</v>
      </c>
      <c r="L525">
        <v>149968075.5</v>
      </c>
      <c r="M525">
        <v>1.9174E-2</v>
      </c>
      <c r="N525">
        <v>1.1100000000000001</v>
      </c>
      <c r="O525" t="s">
        <v>42</v>
      </c>
      <c r="P525" t="s">
        <v>23</v>
      </c>
      <c r="Q525" s="49">
        <v>43375</v>
      </c>
      <c r="R525" s="49" t="str">
        <f>DataTable[HLD_Portfolio]&amp;DataTable[HLD_Date]</f>
        <v>SCBRM243381</v>
      </c>
    </row>
    <row r="526" spans="1:18" x14ac:dyDescent="0.2">
      <c r="A526" s="49">
        <v>43381</v>
      </c>
      <c r="B526" t="s">
        <v>387</v>
      </c>
      <c r="C526" t="s">
        <v>18</v>
      </c>
      <c r="D526" t="s">
        <v>89</v>
      </c>
      <c r="F526" t="s">
        <v>107</v>
      </c>
      <c r="G526" t="s">
        <v>91</v>
      </c>
      <c r="I526" s="49">
        <v>43391</v>
      </c>
      <c r="J526" s="47">
        <v>59982843</v>
      </c>
      <c r="L526">
        <v>59982843</v>
      </c>
      <c r="M526">
        <v>2.4650999999999999E-2</v>
      </c>
      <c r="N526">
        <v>1.1599999999999999</v>
      </c>
      <c r="O526" t="s">
        <v>42</v>
      </c>
      <c r="P526" t="s">
        <v>23</v>
      </c>
      <c r="Q526" s="49">
        <v>43209</v>
      </c>
      <c r="R526" s="49" t="str">
        <f>DataTable[HLD_Portfolio]&amp;DataTable[HLD_Date]</f>
        <v>SCBRM243381</v>
      </c>
    </row>
    <row r="527" spans="1:18" x14ac:dyDescent="0.2">
      <c r="A527" s="49">
        <v>43381</v>
      </c>
      <c r="B527" t="s">
        <v>387</v>
      </c>
      <c r="C527" t="s">
        <v>18</v>
      </c>
      <c r="D527" t="s">
        <v>89</v>
      </c>
      <c r="F527" t="s">
        <v>213</v>
      </c>
      <c r="G527" t="s">
        <v>91</v>
      </c>
      <c r="I527" s="49">
        <v>43468</v>
      </c>
      <c r="J527" s="47">
        <v>534237749.92000002</v>
      </c>
      <c r="L527">
        <v>534222677.60000002</v>
      </c>
      <c r="M527">
        <v>0.234787</v>
      </c>
      <c r="N527">
        <v>1.4120109999999999</v>
      </c>
      <c r="O527" t="s">
        <v>42</v>
      </c>
      <c r="P527" t="s">
        <v>23</v>
      </c>
      <c r="Q527" s="49">
        <v>43286</v>
      </c>
      <c r="R527" s="49" t="str">
        <f>DataTable[HLD_Portfolio]&amp;DataTable[HLD_Date]</f>
        <v>SCBRM243381</v>
      </c>
    </row>
    <row r="528" spans="1:18" x14ac:dyDescent="0.2">
      <c r="A528" s="49">
        <v>43381</v>
      </c>
      <c r="B528" t="s">
        <v>387</v>
      </c>
      <c r="C528" t="s">
        <v>18</v>
      </c>
      <c r="D528" t="s">
        <v>89</v>
      </c>
      <c r="F528" t="s">
        <v>651</v>
      </c>
      <c r="G528" t="s">
        <v>91</v>
      </c>
      <c r="I528" s="49">
        <v>43475</v>
      </c>
      <c r="J528" s="47">
        <v>36860998.770000003</v>
      </c>
      <c r="L528">
        <v>36866145.469999999</v>
      </c>
      <c r="M528">
        <v>0.25383699999999998</v>
      </c>
      <c r="N528">
        <v>1.425</v>
      </c>
      <c r="O528" t="s">
        <v>42</v>
      </c>
      <c r="P528" t="s">
        <v>23</v>
      </c>
      <c r="Q528" s="49">
        <v>43293</v>
      </c>
      <c r="R528" s="49" t="str">
        <f>DataTable[HLD_Portfolio]&amp;DataTable[HLD_Date]</f>
        <v>SCBRM243381</v>
      </c>
    </row>
    <row r="529" spans="1:18" x14ac:dyDescent="0.2">
      <c r="A529" s="49">
        <v>43381</v>
      </c>
      <c r="B529" t="s">
        <v>387</v>
      </c>
      <c r="C529" t="s">
        <v>18</v>
      </c>
      <c r="D529" t="s">
        <v>89</v>
      </c>
      <c r="F529" t="s">
        <v>652</v>
      </c>
      <c r="G529" t="s">
        <v>91</v>
      </c>
      <c r="I529" s="49">
        <v>43496</v>
      </c>
      <c r="J529" s="47">
        <v>86579508.120000005</v>
      </c>
      <c r="L529">
        <v>86599695.599999994</v>
      </c>
      <c r="M529">
        <v>0.31081900000000001</v>
      </c>
      <c r="N529">
        <v>1.48</v>
      </c>
      <c r="O529" t="s">
        <v>42</v>
      </c>
      <c r="P529" t="s">
        <v>23</v>
      </c>
      <c r="Q529" s="49">
        <v>43314</v>
      </c>
      <c r="R529" s="49" t="str">
        <f>DataTable[HLD_Portfolio]&amp;DataTable[HLD_Date]</f>
        <v>SCBRM243381</v>
      </c>
    </row>
    <row r="530" spans="1:18" x14ac:dyDescent="0.2">
      <c r="A530" s="49">
        <v>43381</v>
      </c>
      <c r="B530" t="s">
        <v>387</v>
      </c>
      <c r="C530" t="s">
        <v>18</v>
      </c>
      <c r="D530" t="s">
        <v>89</v>
      </c>
      <c r="F530" t="s">
        <v>653</v>
      </c>
      <c r="G530" t="s">
        <v>91</v>
      </c>
      <c r="I530" s="49">
        <v>43510</v>
      </c>
      <c r="J530" s="47">
        <v>68635348.799999997</v>
      </c>
      <c r="L530">
        <v>68641144.109999999</v>
      </c>
      <c r="M530">
        <v>0.34883199999999998</v>
      </c>
      <c r="N530">
        <v>1.4907969999999999</v>
      </c>
      <c r="O530" t="s">
        <v>42</v>
      </c>
      <c r="P530" t="s">
        <v>23</v>
      </c>
      <c r="Q530" s="49">
        <v>43328</v>
      </c>
      <c r="R530" s="49" t="str">
        <f>DataTable[HLD_Portfolio]&amp;DataTable[HLD_Date]</f>
        <v>SCBRM243381</v>
      </c>
    </row>
    <row r="531" spans="1:18" x14ac:dyDescent="0.2">
      <c r="A531" s="49">
        <v>43381</v>
      </c>
      <c r="B531" t="s">
        <v>387</v>
      </c>
      <c r="C531" t="s">
        <v>18</v>
      </c>
      <c r="D531" t="s">
        <v>89</v>
      </c>
      <c r="F531" t="s">
        <v>654</v>
      </c>
      <c r="G531" t="s">
        <v>91</v>
      </c>
      <c r="I531" s="49">
        <v>43524</v>
      </c>
      <c r="J531" s="47">
        <v>126246086.09</v>
      </c>
      <c r="L531">
        <v>126286378.11</v>
      </c>
      <c r="M531">
        <v>0.38673200000000002</v>
      </c>
      <c r="N531">
        <v>1.4524999999999999</v>
      </c>
      <c r="O531" t="s">
        <v>42</v>
      </c>
      <c r="P531" t="s">
        <v>23</v>
      </c>
      <c r="Q531" s="49">
        <v>43342</v>
      </c>
      <c r="R531" s="49" t="str">
        <f>DataTable[HLD_Portfolio]&amp;DataTable[HLD_Date]</f>
        <v>SCBRM243381</v>
      </c>
    </row>
    <row r="532" spans="1:18" x14ac:dyDescent="0.2">
      <c r="A532" s="49">
        <v>43381</v>
      </c>
      <c r="B532" t="s">
        <v>387</v>
      </c>
      <c r="C532" t="s">
        <v>18</v>
      </c>
      <c r="D532" t="s">
        <v>89</v>
      </c>
      <c r="F532" t="s">
        <v>655</v>
      </c>
      <c r="G532" t="s">
        <v>91</v>
      </c>
      <c r="I532" s="49">
        <v>43531</v>
      </c>
      <c r="J532" s="47">
        <v>17889613.559999999</v>
      </c>
      <c r="L532">
        <v>17886097.440000001</v>
      </c>
      <c r="M532">
        <v>0.40571600000000002</v>
      </c>
      <c r="N532">
        <v>1.56</v>
      </c>
      <c r="O532" t="s">
        <v>42</v>
      </c>
      <c r="P532" t="s">
        <v>23</v>
      </c>
      <c r="Q532" s="49">
        <v>43349</v>
      </c>
      <c r="R532" s="49" t="str">
        <f>DataTable[HLD_Portfolio]&amp;DataTable[HLD_Date]</f>
        <v>SCBRM243381</v>
      </c>
    </row>
    <row r="533" spans="1:18" x14ac:dyDescent="0.2">
      <c r="A533" s="49">
        <v>43381</v>
      </c>
      <c r="B533" t="s">
        <v>387</v>
      </c>
      <c r="C533" t="s">
        <v>18</v>
      </c>
      <c r="D533" t="s">
        <v>89</v>
      </c>
      <c r="F533" t="s">
        <v>597</v>
      </c>
      <c r="G533" t="s">
        <v>91</v>
      </c>
      <c r="I533" s="49">
        <v>43538</v>
      </c>
      <c r="J533" s="47">
        <v>251281646.77000001</v>
      </c>
      <c r="L533">
        <v>251404048.16999999</v>
      </c>
      <c r="M533">
        <v>0.42449399999999998</v>
      </c>
      <c r="N533">
        <v>1.485306</v>
      </c>
      <c r="O533" t="s">
        <v>42</v>
      </c>
      <c r="P533" t="s">
        <v>23</v>
      </c>
      <c r="Q533" s="49">
        <v>43174</v>
      </c>
      <c r="R533" s="49" t="str">
        <f>DataTable[HLD_Portfolio]&amp;DataTable[HLD_Date]</f>
        <v>SCBRM243381</v>
      </c>
    </row>
    <row r="534" spans="1:18" x14ac:dyDescent="0.2">
      <c r="A534" s="49">
        <v>43381</v>
      </c>
      <c r="B534" t="s">
        <v>387</v>
      </c>
      <c r="C534" t="s">
        <v>18</v>
      </c>
      <c r="D534" t="s">
        <v>89</v>
      </c>
      <c r="F534" t="s">
        <v>656</v>
      </c>
      <c r="G534" t="s">
        <v>91</v>
      </c>
      <c r="I534" s="49">
        <v>43545</v>
      </c>
      <c r="J534" s="47">
        <v>26814601.800000001</v>
      </c>
      <c r="L534">
        <v>26813203.739999998</v>
      </c>
      <c r="M534">
        <v>0.44350899999999999</v>
      </c>
      <c r="N534">
        <v>1.56</v>
      </c>
      <c r="O534" t="s">
        <v>42</v>
      </c>
      <c r="P534" t="s">
        <v>23</v>
      </c>
      <c r="Q534" s="49">
        <v>43363</v>
      </c>
      <c r="R534" s="49" t="str">
        <f>DataTable[HLD_Portfolio]&amp;DataTable[HLD_Date]</f>
        <v>SCBRM243381</v>
      </c>
    </row>
    <row r="535" spans="1:18" x14ac:dyDescent="0.2">
      <c r="A535" s="49">
        <v>43381</v>
      </c>
      <c r="B535" t="s">
        <v>387</v>
      </c>
      <c r="C535" t="s">
        <v>18</v>
      </c>
      <c r="D535" t="s">
        <v>89</v>
      </c>
      <c r="F535" t="s">
        <v>657</v>
      </c>
      <c r="G535" t="s">
        <v>91</v>
      </c>
      <c r="I535" s="49">
        <v>43552</v>
      </c>
      <c r="J535" s="47">
        <v>259111325.69999999</v>
      </c>
      <c r="L535">
        <v>259105335.75</v>
      </c>
      <c r="M535">
        <v>0.46238299999999999</v>
      </c>
      <c r="N535">
        <v>1.57</v>
      </c>
      <c r="O535" t="s">
        <v>42</v>
      </c>
      <c r="P535" t="s">
        <v>23</v>
      </c>
      <c r="Q535" s="49">
        <v>43370</v>
      </c>
      <c r="R535" s="49" t="str">
        <f>DataTable[HLD_Portfolio]&amp;DataTable[HLD_Date]</f>
        <v>SCBRM243381</v>
      </c>
    </row>
    <row r="536" spans="1:18" x14ac:dyDescent="0.2">
      <c r="A536" s="49">
        <v>43381</v>
      </c>
      <c r="B536" t="s">
        <v>387</v>
      </c>
      <c r="C536" t="s">
        <v>18</v>
      </c>
      <c r="D536" t="s">
        <v>89</v>
      </c>
      <c r="F536" t="s">
        <v>658</v>
      </c>
      <c r="G536" t="s">
        <v>91</v>
      </c>
      <c r="I536" s="49">
        <v>43559</v>
      </c>
      <c r="J536" s="47">
        <v>192478576.34</v>
      </c>
      <c r="L536">
        <v>192508677.38</v>
      </c>
      <c r="M536">
        <v>0.481128</v>
      </c>
      <c r="N536">
        <v>1.5974999999999999</v>
      </c>
      <c r="O536" t="s">
        <v>42</v>
      </c>
      <c r="P536" t="s">
        <v>23</v>
      </c>
      <c r="Q536" s="49">
        <v>43377</v>
      </c>
      <c r="R536" s="49" t="str">
        <f>DataTable[HLD_Portfolio]&amp;DataTable[HLD_Date]</f>
        <v>SCBRM243381</v>
      </c>
    </row>
    <row r="537" spans="1:18" x14ac:dyDescent="0.2">
      <c r="A537" s="49">
        <v>43381</v>
      </c>
      <c r="B537" t="s">
        <v>387</v>
      </c>
      <c r="C537" t="s">
        <v>18</v>
      </c>
      <c r="D537" t="s">
        <v>89</v>
      </c>
      <c r="F537" t="s">
        <v>659</v>
      </c>
      <c r="G537" t="s">
        <v>91</v>
      </c>
      <c r="I537" s="49">
        <v>43622</v>
      </c>
      <c r="J537" s="47">
        <v>131615334.34</v>
      </c>
      <c r="L537">
        <v>131636715.42</v>
      </c>
      <c r="M537">
        <v>0.65068899999999996</v>
      </c>
      <c r="N537">
        <v>1.5750379999999999</v>
      </c>
      <c r="O537" t="s">
        <v>42</v>
      </c>
      <c r="P537" t="s">
        <v>23</v>
      </c>
      <c r="Q537" s="49">
        <v>43258</v>
      </c>
      <c r="R537" s="49" t="str">
        <f>DataTable[HLD_Portfolio]&amp;DataTable[HLD_Date]</f>
        <v>SCBRM243381</v>
      </c>
    </row>
    <row r="538" spans="1:18" x14ac:dyDescent="0.2">
      <c r="A538" s="49">
        <v>43381</v>
      </c>
      <c r="B538" t="s">
        <v>387</v>
      </c>
      <c r="C538" t="s">
        <v>18</v>
      </c>
      <c r="D538" t="s">
        <v>89</v>
      </c>
      <c r="F538" t="s">
        <v>660</v>
      </c>
      <c r="G538" t="s">
        <v>91</v>
      </c>
      <c r="I538" s="49">
        <v>43713</v>
      </c>
      <c r="J538" s="47">
        <v>614169666.24000001</v>
      </c>
      <c r="L538">
        <v>614344186.55999994</v>
      </c>
      <c r="M538">
        <v>0.892563</v>
      </c>
      <c r="N538">
        <v>1.7331730000000001</v>
      </c>
      <c r="O538" t="s">
        <v>42</v>
      </c>
      <c r="P538" t="s">
        <v>23</v>
      </c>
      <c r="Q538" s="49">
        <v>43349</v>
      </c>
      <c r="R538" s="49" t="str">
        <f>DataTable[HLD_Portfolio]&amp;DataTable[HLD_Date]</f>
        <v>SCBRM243381</v>
      </c>
    </row>
    <row r="539" spans="1:18" x14ac:dyDescent="0.2">
      <c r="A539" s="49">
        <v>43381</v>
      </c>
      <c r="B539" t="s">
        <v>387</v>
      </c>
      <c r="C539" t="s">
        <v>18</v>
      </c>
      <c r="D539" t="s">
        <v>115</v>
      </c>
      <c r="F539" t="s">
        <v>661</v>
      </c>
      <c r="G539" t="s">
        <v>91</v>
      </c>
      <c r="I539" s="49">
        <v>43545</v>
      </c>
      <c r="J539" s="47">
        <v>29985808.199999999</v>
      </c>
      <c r="K539">
        <v>22191.9</v>
      </c>
      <c r="L539">
        <v>30014750.399999999</v>
      </c>
      <c r="M539">
        <v>0.44298700000000002</v>
      </c>
      <c r="N539">
        <v>1.4025000000000001</v>
      </c>
      <c r="O539" t="s">
        <v>42</v>
      </c>
      <c r="P539" t="s">
        <v>23</v>
      </c>
      <c r="Q539" s="49">
        <v>42450</v>
      </c>
      <c r="R539" s="49" t="str">
        <f>DataTable[HLD_Portfolio]&amp;DataTable[HLD_Date]</f>
        <v>SCBRM243381</v>
      </c>
    </row>
    <row r="540" spans="1:18" x14ac:dyDescent="0.2">
      <c r="A540" s="49">
        <v>43381</v>
      </c>
      <c r="B540" t="s">
        <v>387</v>
      </c>
      <c r="C540" t="s">
        <v>18</v>
      </c>
      <c r="D540" t="s">
        <v>115</v>
      </c>
      <c r="F540" t="s">
        <v>599</v>
      </c>
      <c r="G540" t="s">
        <v>91</v>
      </c>
      <c r="I540" s="49">
        <v>43720</v>
      </c>
      <c r="J540" s="47">
        <v>239710452</v>
      </c>
      <c r="K540">
        <v>292932</v>
      </c>
      <c r="L540">
        <v>239952324</v>
      </c>
      <c r="M540">
        <v>0.90968499999999997</v>
      </c>
      <c r="N540">
        <v>1.67875</v>
      </c>
      <c r="O540" t="s">
        <v>42</v>
      </c>
      <c r="P540" t="s">
        <v>23</v>
      </c>
      <c r="Q540" s="49">
        <v>42625</v>
      </c>
      <c r="R540" s="49" t="str">
        <f>DataTable[HLD_Portfolio]&amp;DataTable[HLD_Date]</f>
        <v>SCBRM243381</v>
      </c>
    </row>
    <row r="541" spans="1:18" x14ac:dyDescent="0.2">
      <c r="A541" s="49">
        <v>43381</v>
      </c>
      <c r="B541" t="s">
        <v>387</v>
      </c>
      <c r="C541" t="s">
        <v>18</v>
      </c>
      <c r="D541" t="s">
        <v>115</v>
      </c>
      <c r="F541" t="s">
        <v>662</v>
      </c>
      <c r="G541" t="s">
        <v>91</v>
      </c>
      <c r="I541" s="49">
        <v>43917</v>
      </c>
      <c r="J541" s="47">
        <v>392223270.87</v>
      </c>
      <c r="K541">
        <v>228694.56</v>
      </c>
      <c r="L541">
        <v>393121083.30000001</v>
      </c>
      <c r="M541">
        <v>1.436145</v>
      </c>
      <c r="N541">
        <v>1.7534510000000001</v>
      </c>
      <c r="O541" t="s">
        <v>42</v>
      </c>
      <c r="P541" t="s">
        <v>23</v>
      </c>
      <c r="Q541" s="49">
        <v>42821</v>
      </c>
      <c r="R541" s="49" t="str">
        <f>DataTable[HLD_Portfolio]&amp;DataTable[HLD_Date]</f>
        <v>SCBRM243381</v>
      </c>
    </row>
    <row r="542" spans="1:18" x14ac:dyDescent="0.2">
      <c r="A542" s="49">
        <v>43381</v>
      </c>
      <c r="B542" t="s">
        <v>387</v>
      </c>
      <c r="C542" t="s">
        <v>18</v>
      </c>
      <c r="D542" t="s">
        <v>115</v>
      </c>
      <c r="F542" t="s">
        <v>600</v>
      </c>
      <c r="G542" t="s">
        <v>91</v>
      </c>
      <c r="I542" s="49">
        <v>44099</v>
      </c>
      <c r="J542" s="47">
        <v>341473378.02999997</v>
      </c>
      <c r="K542">
        <v>207454.46</v>
      </c>
      <c r="L542">
        <v>344971871.99000001</v>
      </c>
      <c r="M542">
        <v>1.9147000000000001</v>
      </c>
      <c r="N542">
        <v>1.50197</v>
      </c>
      <c r="O542" t="s">
        <v>42</v>
      </c>
      <c r="P542" t="s">
        <v>23</v>
      </c>
      <c r="Q542" s="49">
        <v>43003</v>
      </c>
      <c r="R542" s="49" t="str">
        <f>DataTable[HLD_Portfolio]&amp;DataTable[HLD_Date]</f>
        <v>SCBRM243381</v>
      </c>
    </row>
    <row r="543" spans="1:18" x14ac:dyDescent="0.2">
      <c r="A543" s="49">
        <v>43381</v>
      </c>
      <c r="B543" t="s">
        <v>387</v>
      </c>
      <c r="C543" t="s">
        <v>18</v>
      </c>
      <c r="D543" t="s">
        <v>115</v>
      </c>
      <c r="F543" t="s">
        <v>663</v>
      </c>
      <c r="G543" t="s">
        <v>87</v>
      </c>
      <c r="H543" t="s">
        <v>29</v>
      </c>
      <c r="I543" s="49">
        <v>44391</v>
      </c>
      <c r="J543" s="47">
        <v>63923593.659999996</v>
      </c>
      <c r="K543">
        <v>182923.01</v>
      </c>
      <c r="L543">
        <v>64001345.630000003</v>
      </c>
      <c r="M543">
        <v>2.7049319999999999</v>
      </c>
      <c r="N543">
        <v>1.170194</v>
      </c>
      <c r="O543" t="s">
        <v>42</v>
      </c>
      <c r="P543" t="s">
        <v>23</v>
      </c>
      <c r="Q543" s="49">
        <v>40738</v>
      </c>
      <c r="R543" s="49" t="str">
        <f>DataTable[HLD_Portfolio]&amp;DataTable[HLD_Date]</f>
        <v>SCBRM243381</v>
      </c>
    </row>
    <row r="544" spans="1:18" x14ac:dyDescent="0.2">
      <c r="A544" s="49">
        <v>43381</v>
      </c>
      <c r="B544" t="s">
        <v>387</v>
      </c>
      <c r="C544" t="s">
        <v>18</v>
      </c>
      <c r="D544" t="s">
        <v>115</v>
      </c>
      <c r="F544" t="s">
        <v>664</v>
      </c>
      <c r="G544" t="s">
        <v>87</v>
      </c>
      <c r="H544" t="s">
        <v>29</v>
      </c>
      <c r="I544" s="49">
        <v>44729</v>
      </c>
      <c r="J544" s="47">
        <v>139896934.56</v>
      </c>
      <c r="K544">
        <v>831574.72</v>
      </c>
      <c r="L544">
        <v>140135635.13999999</v>
      </c>
      <c r="M544">
        <v>3.5197379999999998</v>
      </c>
      <c r="N544">
        <v>2.246769</v>
      </c>
      <c r="O544" t="s">
        <v>42</v>
      </c>
      <c r="P544" t="s">
        <v>23</v>
      </c>
      <c r="Q544" s="49">
        <v>42566</v>
      </c>
      <c r="R544" s="49" t="str">
        <f>DataTable[HLD_Portfolio]&amp;DataTable[HLD_Date]</f>
        <v>SCBRM243381</v>
      </c>
    </row>
    <row r="545" spans="1:18" x14ac:dyDescent="0.2">
      <c r="A545" s="49">
        <v>43381</v>
      </c>
      <c r="B545" t="s">
        <v>387</v>
      </c>
      <c r="C545" t="s">
        <v>18</v>
      </c>
      <c r="D545" t="s">
        <v>115</v>
      </c>
      <c r="F545" t="s">
        <v>665</v>
      </c>
      <c r="G545" t="s">
        <v>87</v>
      </c>
      <c r="H545" t="s">
        <v>29</v>
      </c>
      <c r="I545" s="49">
        <v>44912</v>
      </c>
      <c r="J545" s="47">
        <v>110888968.5</v>
      </c>
      <c r="K545">
        <v>702740.25</v>
      </c>
      <c r="L545">
        <v>113312412</v>
      </c>
      <c r="M545">
        <v>3.9664069999999998</v>
      </c>
      <c r="N545">
        <v>1.819229</v>
      </c>
      <c r="O545" t="s">
        <v>42</v>
      </c>
      <c r="P545" t="s">
        <v>23</v>
      </c>
      <c r="Q545" s="49">
        <v>42951</v>
      </c>
      <c r="R545" s="49" t="str">
        <f>DataTable[HLD_Portfolio]&amp;DataTable[HLD_Date]</f>
        <v>SCBRM243381</v>
      </c>
    </row>
    <row r="546" spans="1:18" x14ac:dyDescent="0.2">
      <c r="A546" s="49">
        <v>43381</v>
      </c>
      <c r="B546" t="s">
        <v>387</v>
      </c>
      <c r="C546" t="s">
        <v>18</v>
      </c>
      <c r="D546" t="s">
        <v>115</v>
      </c>
      <c r="F546" t="s">
        <v>666</v>
      </c>
      <c r="G546" t="s">
        <v>87</v>
      </c>
      <c r="H546" t="s">
        <v>29</v>
      </c>
      <c r="I546" s="49">
        <v>45277</v>
      </c>
      <c r="J546" s="47">
        <v>56834409.869999997</v>
      </c>
      <c r="K546">
        <v>198641.01</v>
      </c>
      <c r="L546">
        <v>57156373.229999997</v>
      </c>
      <c r="M546">
        <v>4.8327780000000002</v>
      </c>
      <c r="N546">
        <v>2.3435640000000002</v>
      </c>
      <c r="O546" t="s">
        <v>42</v>
      </c>
      <c r="P546" t="s">
        <v>23</v>
      </c>
      <c r="Q546" s="49">
        <v>43329</v>
      </c>
      <c r="R546" s="49" t="str">
        <f>DataTable[HLD_Portfolio]&amp;DataTable[HLD_Date]</f>
        <v>SCBRM243381</v>
      </c>
    </row>
    <row r="547" spans="1:18" x14ac:dyDescent="0.2">
      <c r="A547" s="49">
        <v>43381</v>
      </c>
      <c r="B547" t="s">
        <v>387</v>
      </c>
      <c r="C547" t="s">
        <v>18</v>
      </c>
      <c r="D547" t="s">
        <v>115</v>
      </c>
      <c r="F547" t="s">
        <v>667</v>
      </c>
      <c r="G547" t="s">
        <v>668</v>
      </c>
      <c r="I547" s="49">
        <v>44661</v>
      </c>
      <c r="J547" s="47">
        <v>104568813</v>
      </c>
      <c r="K547">
        <v>1997013.3</v>
      </c>
      <c r="L547">
        <v>103402337</v>
      </c>
      <c r="M547">
        <v>3.2655479999999999</v>
      </c>
      <c r="N547">
        <v>2.9750000000000001</v>
      </c>
      <c r="O547" t="s">
        <v>42</v>
      </c>
      <c r="P547" t="s">
        <v>23</v>
      </c>
      <c r="Q547" s="49">
        <v>41009</v>
      </c>
      <c r="R547" s="49" t="str">
        <f>DataTable[HLD_Portfolio]&amp;DataTable[HLD_Date]</f>
        <v>SCBRM243381</v>
      </c>
    </row>
    <row r="548" spans="1:18" x14ac:dyDescent="0.2">
      <c r="A548" s="49">
        <v>43381</v>
      </c>
      <c r="B548" t="s">
        <v>387</v>
      </c>
      <c r="C548" t="s">
        <v>18</v>
      </c>
      <c r="D548" t="s">
        <v>112</v>
      </c>
      <c r="F548" t="s">
        <v>604</v>
      </c>
      <c r="G548" t="s">
        <v>195</v>
      </c>
      <c r="H548" t="s">
        <v>51</v>
      </c>
      <c r="I548" s="49">
        <v>44016</v>
      </c>
      <c r="J548" s="47">
        <v>10342119.1</v>
      </c>
      <c r="K548">
        <v>115868.5</v>
      </c>
      <c r="L548">
        <v>10364332.9</v>
      </c>
      <c r="M548">
        <v>1.657349</v>
      </c>
      <c r="N548">
        <v>2.2000000000000002</v>
      </c>
      <c r="O548" t="s">
        <v>42</v>
      </c>
      <c r="P548" t="s">
        <v>23</v>
      </c>
      <c r="Q548" s="49">
        <v>41824</v>
      </c>
      <c r="R548" s="49" t="str">
        <f>DataTable[HLD_Portfolio]&amp;DataTable[HLD_Date]</f>
        <v>SCBRM243381</v>
      </c>
    </row>
    <row r="549" spans="1:18" x14ac:dyDescent="0.2">
      <c r="A549" s="49">
        <v>43381</v>
      </c>
      <c r="B549" t="s">
        <v>387</v>
      </c>
      <c r="C549" t="s">
        <v>18</v>
      </c>
      <c r="D549" t="s">
        <v>112</v>
      </c>
      <c r="F549" t="s">
        <v>551</v>
      </c>
      <c r="G549" t="s">
        <v>195</v>
      </c>
      <c r="H549" t="s">
        <v>51</v>
      </c>
      <c r="I549" s="49">
        <v>46498</v>
      </c>
      <c r="J549" s="47">
        <v>62432366.399999999</v>
      </c>
      <c r="K549">
        <v>1172169.8</v>
      </c>
      <c r="L549">
        <v>60000000</v>
      </c>
      <c r="M549">
        <v>7.1763750000000002</v>
      </c>
      <c r="N549">
        <v>4.17</v>
      </c>
      <c r="O549" t="s">
        <v>42</v>
      </c>
      <c r="P549" t="s">
        <v>23</v>
      </c>
      <c r="Q549" s="49">
        <v>42846</v>
      </c>
      <c r="R549" s="49" t="str">
        <f>DataTable[HLD_Portfolio]&amp;DataTable[HLD_Date]</f>
        <v>SCBRM243381</v>
      </c>
    </row>
    <row r="550" spans="1:18" x14ac:dyDescent="0.2">
      <c r="A550" s="49">
        <v>43381</v>
      </c>
      <c r="B550" t="s">
        <v>387</v>
      </c>
      <c r="C550" t="s">
        <v>18</v>
      </c>
      <c r="D550" t="s">
        <v>112</v>
      </c>
      <c r="F550" t="s">
        <v>669</v>
      </c>
      <c r="G550" t="s">
        <v>554</v>
      </c>
      <c r="H550" t="s">
        <v>47</v>
      </c>
      <c r="I550" s="49">
        <v>44125</v>
      </c>
      <c r="J550" s="47">
        <v>25110898.75</v>
      </c>
      <c r="K550">
        <v>306863.01</v>
      </c>
      <c r="L550">
        <v>25000000</v>
      </c>
      <c r="M550">
        <v>1.970909</v>
      </c>
      <c r="N550">
        <v>2.62</v>
      </c>
      <c r="O550" t="s">
        <v>42</v>
      </c>
      <c r="P550" t="s">
        <v>23</v>
      </c>
      <c r="Q550" s="49">
        <v>42664</v>
      </c>
      <c r="R550" s="49" t="str">
        <f>DataTable[HLD_Portfolio]&amp;DataTable[HLD_Date]</f>
        <v>SCBRM243381</v>
      </c>
    </row>
    <row r="551" spans="1:18" x14ac:dyDescent="0.2">
      <c r="A551" s="49">
        <v>43381</v>
      </c>
      <c r="B551" t="s">
        <v>387</v>
      </c>
      <c r="C551" t="s">
        <v>18</v>
      </c>
      <c r="D551" t="s">
        <v>112</v>
      </c>
      <c r="F551" t="s">
        <v>670</v>
      </c>
      <c r="G551" t="s">
        <v>554</v>
      </c>
      <c r="H551" t="s">
        <v>47</v>
      </c>
      <c r="I551" s="49">
        <v>44811</v>
      </c>
      <c r="J551" s="47">
        <v>15769738.560000001</v>
      </c>
      <c r="K551">
        <v>37172.639999999999</v>
      </c>
      <c r="L551">
        <v>16000000</v>
      </c>
      <c r="M551">
        <v>3.6722890000000001</v>
      </c>
      <c r="N551">
        <v>2.65</v>
      </c>
      <c r="O551" t="s">
        <v>42</v>
      </c>
      <c r="P551" t="s">
        <v>23</v>
      </c>
      <c r="Q551" s="49">
        <v>42985</v>
      </c>
      <c r="R551" s="49" t="str">
        <f>DataTable[HLD_Portfolio]&amp;DataTable[HLD_Date]</f>
        <v>SCBRM243381</v>
      </c>
    </row>
    <row r="552" spans="1:18" x14ac:dyDescent="0.2">
      <c r="A552" s="49">
        <v>43381</v>
      </c>
      <c r="B552" t="s">
        <v>387</v>
      </c>
      <c r="C552" t="s">
        <v>18</v>
      </c>
      <c r="D552" t="s">
        <v>112</v>
      </c>
      <c r="F552" t="s">
        <v>671</v>
      </c>
      <c r="G552" t="s">
        <v>258</v>
      </c>
      <c r="H552" t="s">
        <v>51</v>
      </c>
      <c r="I552" s="49">
        <v>43914</v>
      </c>
      <c r="J552" s="47">
        <v>95656899.349999994</v>
      </c>
      <c r="K552">
        <v>117123.6</v>
      </c>
      <c r="L552">
        <v>96355798.200000003</v>
      </c>
      <c r="M552">
        <v>1.414984</v>
      </c>
      <c r="N552">
        <v>2.007895</v>
      </c>
      <c r="O552" t="s">
        <v>42</v>
      </c>
      <c r="P552" t="s">
        <v>23</v>
      </c>
      <c r="Q552" s="49">
        <v>42818</v>
      </c>
      <c r="R552" s="49" t="str">
        <f>DataTable[HLD_Portfolio]&amp;DataTable[HLD_Date]</f>
        <v>SCBRM243381</v>
      </c>
    </row>
    <row r="553" spans="1:18" x14ac:dyDescent="0.2">
      <c r="A553" s="49">
        <v>43381</v>
      </c>
      <c r="B553" t="s">
        <v>387</v>
      </c>
      <c r="C553" t="s">
        <v>18</v>
      </c>
      <c r="D553" t="s">
        <v>112</v>
      </c>
      <c r="F553" t="s">
        <v>672</v>
      </c>
      <c r="G553" t="s">
        <v>258</v>
      </c>
      <c r="H553" t="s">
        <v>51</v>
      </c>
      <c r="I553" s="49">
        <v>45375</v>
      </c>
      <c r="J553" s="47">
        <v>13366137.98</v>
      </c>
      <c r="K553">
        <v>20568.47</v>
      </c>
      <c r="L553">
        <v>13000000</v>
      </c>
      <c r="M553">
        <v>4.8917109999999999</v>
      </c>
      <c r="N553">
        <v>3.85</v>
      </c>
      <c r="O553" t="s">
        <v>42</v>
      </c>
      <c r="P553" t="s">
        <v>23</v>
      </c>
      <c r="Q553" s="49">
        <v>42818</v>
      </c>
      <c r="R553" s="49" t="str">
        <f>DataTable[HLD_Portfolio]&amp;DataTable[HLD_Date]</f>
        <v>SCBRM243381</v>
      </c>
    </row>
    <row r="554" spans="1:18" x14ac:dyDescent="0.2">
      <c r="A554" s="49">
        <v>43381</v>
      </c>
      <c r="B554" t="s">
        <v>387</v>
      </c>
      <c r="C554" t="s">
        <v>18</v>
      </c>
      <c r="D554" t="s">
        <v>112</v>
      </c>
      <c r="F554" t="s">
        <v>673</v>
      </c>
      <c r="G554" t="s">
        <v>566</v>
      </c>
      <c r="H554" t="s">
        <v>126</v>
      </c>
      <c r="I554" s="49">
        <v>44402</v>
      </c>
      <c r="J554" s="47">
        <v>139709365.59999999</v>
      </c>
      <c r="K554">
        <v>757918</v>
      </c>
      <c r="L554">
        <v>140000000</v>
      </c>
      <c r="M554">
        <v>2.6655319999999998</v>
      </c>
      <c r="N554">
        <v>2.6</v>
      </c>
      <c r="O554" t="s">
        <v>42</v>
      </c>
      <c r="P554" t="s">
        <v>23</v>
      </c>
      <c r="Q554" s="49">
        <v>43306</v>
      </c>
      <c r="R554" s="49" t="str">
        <f>DataTable[HLD_Portfolio]&amp;DataTable[HLD_Date]</f>
        <v>SCBRM243381</v>
      </c>
    </row>
    <row r="555" spans="1:18" x14ac:dyDescent="0.2">
      <c r="A555" s="49">
        <v>43381</v>
      </c>
      <c r="B555" t="s">
        <v>387</v>
      </c>
      <c r="C555" t="s">
        <v>18</v>
      </c>
      <c r="D555" t="s">
        <v>112</v>
      </c>
      <c r="F555" t="s">
        <v>674</v>
      </c>
      <c r="G555" t="s">
        <v>114</v>
      </c>
      <c r="H555" t="s">
        <v>51</v>
      </c>
      <c r="I555" s="49">
        <v>45003</v>
      </c>
      <c r="J555" s="47">
        <v>10230186.1</v>
      </c>
      <c r="K555">
        <v>19561.599999999999</v>
      </c>
      <c r="L555">
        <v>10071021</v>
      </c>
      <c r="M555">
        <v>4.0946530000000001</v>
      </c>
      <c r="N555">
        <v>3.23</v>
      </c>
      <c r="O555" t="s">
        <v>42</v>
      </c>
      <c r="P555" t="s">
        <v>23</v>
      </c>
      <c r="Q555" s="49">
        <v>42447</v>
      </c>
      <c r="R555" s="49" t="str">
        <f>DataTable[HLD_Portfolio]&amp;DataTable[HLD_Date]</f>
        <v>SCBRM243381</v>
      </c>
    </row>
    <row r="556" spans="1:18" x14ac:dyDescent="0.2">
      <c r="A556" s="49">
        <v>43381</v>
      </c>
      <c r="B556" t="s">
        <v>387</v>
      </c>
      <c r="C556" t="s">
        <v>18</v>
      </c>
      <c r="D556" t="s">
        <v>112</v>
      </c>
      <c r="F556" t="s">
        <v>613</v>
      </c>
      <c r="G556" t="s">
        <v>199</v>
      </c>
      <c r="H556" t="s">
        <v>51</v>
      </c>
      <c r="I556" s="49">
        <v>43933</v>
      </c>
      <c r="J556" s="47">
        <v>30034905.300000001</v>
      </c>
      <c r="K556">
        <v>337314.99</v>
      </c>
      <c r="L556">
        <v>30000000</v>
      </c>
      <c r="M556">
        <v>1.4751510000000001</v>
      </c>
      <c r="N556">
        <v>2.2799999999999998</v>
      </c>
      <c r="O556" t="s">
        <v>42</v>
      </c>
      <c r="P556" t="s">
        <v>23</v>
      </c>
      <c r="Q556" s="49">
        <v>42472</v>
      </c>
      <c r="R556" s="49" t="str">
        <f>DataTable[HLD_Portfolio]&amp;DataTable[HLD_Date]</f>
        <v>SCBRM243381</v>
      </c>
    </row>
    <row r="557" spans="1:18" x14ac:dyDescent="0.2">
      <c r="A557" s="49">
        <v>43381</v>
      </c>
      <c r="B557" t="s">
        <v>387</v>
      </c>
      <c r="C557" t="s">
        <v>18</v>
      </c>
      <c r="D557" t="s">
        <v>112</v>
      </c>
      <c r="F557" t="s">
        <v>675</v>
      </c>
      <c r="G557" t="s">
        <v>199</v>
      </c>
      <c r="H557" t="s">
        <v>51</v>
      </c>
      <c r="I557" s="49">
        <v>45059</v>
      </c>
      <c r="J557" s="47">
        <v>33202058.559999999</v>
      </c>
      <c r="K557">
        <v>519907.84000000003</v>
      </c>
      <c r="L557">
        <v>33753339.200000003</v>
      </c>
      <c r="M557">
        <v>4.1252180000000003</v>
      </c>
      <c r="N557">
        <v>2.7</v>
      </c>
      <c r="O557" t="s">
        <v>42</v>
      </c>
      <c r="P557" t="s">
        <v>23</v>
      </c>
      <c r="Q557" s="49">
        <v>42137</v>
      </c>
      <c r="R557" s="49" t="str">
        <f>DataTable[HLD_Portfolio]&amp;DataTable[HLD_Date]</f>
        <v>SCBRM243381</v>
      </c>
    </row>
    <row r="558" spans="1:18" x14ac:dyDescent="0.2">
      <c r="A558" s="49">
        <v>43381</v>
      </c>
      <c r="B558" t="s">
        <v>387</v>
      </c>
      <c r="C558" t="s">
        <v>18</v>
      </c>
      <c r="D558" t="s">
        <v>112</v>
      </c>
      <c r="F558" t="s">
        <v>676</v>
      </c>
      <c r="G558" t="s">
        <v>199</v>
      </c>
      <c r="H558" t="s">
        <v>51</v>
      </c>
      <c r="I558" s="49">
        <v>45394</v>
      </c>
      <c r="J558" s="47">
        <v>32826619.98</v>
      </c>
      <c r="K558">
        <v>506120.43</v>
      </c>
      <c r="L558">
        <v>33000000</v>
      </c>
      <c r="M558">
        <v>5.023841</v>
      </c>
      <c r="N558">
        <v>3.11</v>
      </c>
      <c r="O558" t="s">
        <v>42</v>
      </c>
      <c r="P558" t="s">
        <v>23</v>
      </c>
      <c r="Q558" s="49">
        <v>42472</v>
      </c>
      <c r="R558" s="49" t="str">
        <f>DataTable[HLD_Portfolio]&amp;DataTable[HLD_Date]</f>
        <v>SCBRM243381</v>
      </c>
    </row>
    <row r="559" spans="1:18" x14ac:dyDescent="0.2">
      <c r="A559" s="49">
        <v>43381</v>
      </c>
      <c r="B559" t="s">
        <v>387</v>
      </c>
      <c r="C559" t="s">
        <v>18</v>
      </c>
      <c r="D559" t="s">
        <v>112</v>
      </c>
      <c r="F559" t="s">
        <v>568</v>
      </c>
      <c r="G559" t="s">
        <v>199</v>
      </c>
      <c r="H559" t="s">
        <v>51</v>
      </c>
      <c r="I559" s="49">
        <v>45681</v>
      </c>
      <c r="J559" s="47">
        <v>41317033.380000003</v>
      </c>
      <c r="K559">
        <v>270238.5</v>
      </c>
      <c r="L559">
        <v>42000000</v>
      </c>
      <c r="M559">
        <v>5.6386060000000002</v>
      </c>
      <c r="N559">
        <v>3.05</v>
      </c>
      <c r="O559" t="s">
        <v>42</v>
      </c>
      <c r="P559" t="s">
        <v>23</v>
      </c>
      <c r="Q559" s="49">
        <v>43124</v>
      </c>
      <c r="R559" s="49" t="str">
        <f>DataTable[HLD_Portfolio]&amp;DataTable[HLD_Date]</f>
        <v>SCBRM243381</v>
      </c>
    </row>
    <row r="560" spans="1:18" x14ac:dyDescent="0.2">
      <c r="A560" s="49">
        <v>43381</v>
      </c>
      <c r="B560" t="s">
        <v>387</v>
      </c>
      <c r="C560" t="s">
        <v>18</v>
      </c>
      <c r="D560" t="s">
        <v>112</v>
      </c>
      <c r="F560" t="s">
        <v>614</v>
      </c>
      <c r="G560" t="s">
        <v>202</v>
      </c>
      <c r="H560" t="s">
        <v>51</v>
      </c>
      <c r="I560" s="49">
        <v>44027</v>
      </c>
      <c r="J560" s="47">
        <v>25049509.5</v>
      </c>
      <c r="K560">
        <v>147849.25</v>
      </c>
      <c r="L560">
        <v>25000000</v>
      </c>
      <c r="M560">
        <v>1.7112350000000001</v>
      </c>
      <c r="N560">
        <v>2.5099999999999998</v>
      </c>
      <c r="O560" t="s">
        <v>42</v>
      </c>
      <c r="P560" t="s">
        <v>23</v>
      </c>
      <c r="Q560" s="49">
        <v>42566</v>
      </c>
      <c r="R560" s="49" t="str">
        <f>DataTable[HLD_Portfolio]&amp;DataTable[HLD_Date]</f>
        <v>SCBRM243381</v>
      </c>
    </row>
    <row r="561" spans="1:18" x14ac:dyDescent="0.2">
      <c r="A561" s="49">
        <v>43381</v>
      </c>
      <c r="B561" t="s">
        <v>387</v>
      </c>
      <c r="C561" t="s">
        <v>18</v>
      </c>
      <c r="D561" t="s">
        <v>112</v>
      </c>
      <c r="F561" t="s">
        <v>677</v>
      </c>
      <c r="G561" t="s">
        <v>202</v>
      </c>
      <c r="H561" t="s">
        <v>51</v>
      </c>
      <c r="I561" s="49">
        <v>44216</v>
      </c>
      <c r="J561" s="47">
        <v>60816403.799999997</v>
      </c>
      <c r="K561">
        <v>412767</v>
      </c>
      <c r="L561">
        <v>60000000</v>
      </c>
      <c r="M561">
        <v>2.1806899999999998</v>
      </c>
      <c r="N561">
        <v>3.1</v>
      </c>
      <c r="O561" t="s">
        <v>42</v>
      </c>
      <c r="P561" t="s">
        <v>23</v>
      </c>
      <c r="Q561" s="49">
        <v>42389</v>
      </c>
      <c r="R561" s="49" t="str">
        <f>DataTable[HLD_Portfolio]&amp;DataTable[HLD_Date]</f>
        <v>SCBRM243381</v>
      </c>
    </row>
    <row r="562" spans="1:18" x14ac:dyDescent="0.2">
      <c r="A562" s="49">
        <v>43381</v>
      </c>
      <c r="B562" t="s">
        <v>387</v>
      </c>
      <c r="C562" t="s">
        <v>18</v>
      </c>
      <c r="D562" t="s">
        <v>112</v>
      </c>
      <c r="F562" t="s">
        <v>678</v>
      </c>
      <c r="G562" t="s">
        <v>202</v>
      </c>
      <c r="H562" t="s">
        <v>51</v>
      </c>
      <c r="I562" s="49">
        <v>44946</v>
      </c>
      <c r="J562" s="47">
        <v>40784599.600000001</v>
      </c>
      <c r="K562">
        <v>308022</v>
      </c>
      <c r="L562">
        <v>40000000</v>
      </c>
      <c r="M562">
        <v>3.932321</v>
      </c>
      <c r="N562">
        <v>3.47</v>
      </c>
      <c r="O562" t="s">
        <v>42</v>
      </c>
      <c r="P562" t="s">
        <v>23</v>
      </c>
      <c r="Q562" s="49">
        <v>42389</v>
      </c>
      <c r="R562" s="49" t="str">
        <f>DataTable[HLD_Portfolio]&amp;DataTable[HLD_Date]</f>
        <v>SCBRM243381</v>
      </c>
    </row>
    <row r="563" spans="1:18" x14ac:dyDescent="0.2">
      <c r="A563" s="49">
        <v>43381</v>
      </c>
      <c r="B563" t="s">
        <v>387</v>
      </c>
      <c r="C563" t="s">
        <v>18</v>
      </c>
      <c r="D563" t="s">
        <v>112</v>
      </c>
      <c r="F563" t="s">
        <v>679</v>
      </c>
      <c r="G563" t="s">
        <v>621</v>
      </c>
      <c r="H563" t="s">
        <v>51</v>
      </c>
      <c r="I563" s="49">
        <v>43584</v>
      </c>
      <c r="J563" s="47">
        <v>33963297</v>
      </c>
      <c r="K563">
        <v>276340.78000000003</v>
      </c>
      <c r="L563">
        <v>34000000</v>
      </c>
      <c r="M563">
        <v>0.54480300000000004</v>
      </c>
      <c r="N563">
        <v>1.82</v>
      </c>
      <c r="O563" t="s">
        <v>42</v>
      </c>
      <c r="P563" t="s">
        <v>23</v>
      </c>
      <c r="Q563" s="49">
        <v>42489</v>
      </c>
      <c r="R563" s="49" t="str">
        <f>DataTable[HLD_Portfolio]&amp;DataTable[HLD_Date]</f>
        <v>SCBRM243381</v>
      </c>
    </row>
    <row r="564" spans="1:18" x14ac:dyDescent="0.2">
      <c r="A564" s="49">
        <v>43381</v>
      </c>
      <c r="B564" t="s">
        <v>387</v>
      </c>
      <c r="C564" t="s">
        <v>18</v>
      </c>
      <c r="D564" t="s">
        <v>112</v>
      </c>
      <c r="F564" t="s">
        <v>680</v>
      </c>
      <c r="G564" t="s">
        <v>625</v>
      </c>
      <c r="H564" t="s">
        <v>47</v>
      </c>
      <c r="I564" s="49">
        <v>43973</v>
      </c>
      <c r="J564" s="47">
        <v>10103747.300000001</v>
      </c>
      <c r="K564">
        <v>116986.3</v>
      </c>
      <c r="L564">
        <v>10152390.5</v>
      </c>
      <c r="M564">
        <v>1.5576909999999999</v>
      </c>
      <c r="N564">
        <v>2.08</v>
      </c>
      <c r="O564" t="s">
        <v>42</v>
      </c>
      <c r="P564" t="s">
        <v>23</v>
      </c>
      <c r="Q564" s="49">
        <v>42146</v>
      </c>
      <c r="R564" s="49" t="str">
        <f>DataTable[HLD_Portfolio]&amp;DataTable[HLD_Date]</f>
        <v>SCBRM243381</v>
      </c>
    </row>
    <row r="565" spans="1:18" x14ac:dyDescent="0.2">
      <c r="A565" s="49">
        <v>43381</v>
      </c>
      <c r="B565" t="s">
        <v>387</v>
      </c>
      <c r="C565" t="s">
        <v>18</v>
      </c>
      <c r="D565" t="s">
        <v>112</v>
      </c>
      <c r="F565" t="s">
        <v>681</v>
      </c>
      <c r="G565" t="s">
        <v>625</v>
      </c>
      <c r="H565" t="s">
        <v>47</v>
      </c>
      <c r="I565" s="49">
        <v>44270</v>
      </c>
      <c r="J565" s="47">
        <v>9916381.5999999996</v>
      </c>
      <c r="K565">
        <v>14926</v>
      </c>
      <c r="L565">
        <v>10000000</v>
      </c>
      <c r="M565">
        <v>2.3435320000000002</v>
      </c>
      <c r="N565">
        <v>2.27</v>
      </c>
      <c r="O565" t="s">
        <v>42</v>
      </c>
      <c r="P565" t="s">
        <v>23</v>
      </c>
      <c r="Q565" s="49">
        <v>42444</v>
      </c>
      <c r="R565" s="49" t="str">
        <f>DataTable[HLD_Portfolio]&amp;DataTable[HLD_Date]</f>
        <v>SCBRM243381</v>
      </c>
    </row>
    <row r="566" spans="1:18" x14ac:dyDescent="0.2">
      <c r="A566" s="49">
        <v>43381</v>
      </c>
      <c r="B566" t="s">
        <v>387</v>
      </c>
      <c r="C566" t="s">
        <v>18</v>
      </c>
      <c r="D566" t="s">
        <v>112</v>
      </c>
      <c r="F566" t="s">
        <v>682</v>
      </c>
      <c r="G566" t="s">
        <v>231</v>
      </c>
      <c r="H566" t="s">
        <v>47</v>
      </c>
      <c r="I566" s="49">
        <v>44043</v>
      </c>
      <c r="J566" s="47">
        <v>50282532</v>
      </c>
      <c r="K566">
        <v>261575.5</v>
      </c>
      <c r="L566">
        <v>50000000</v>
      </c>
      <c r="M566">
        <v>1.752915</v>
      </c>
      <c r="N566">
        <v>2.85</v>
      </c>
      <c r="O566" t="s">
        <v>42</v>
      </c>
      <c r="P566" t="s">
        <v>23</v>
      </c>
      <c r="Q566" s="49">
        <v>42769</v>
      </c>
      <c r="R566" s="49" t="str">
        <f>DataTable[HLD_Portfolio]&amp;DataTable[HLD_Date]</f>
        <v>SCBRM243381</v>
      </c>
    </row>
    <row r="567" spans="1:18" x14ac:dyDescent="0.2">
      <c r="A567" s="49">
        <v>43381</v>
      </c>
      <c r="B567" t="s">
        <v>387</v>
      </c>
      <c r="C567" t="s">
        <v>18</v>
      </c>
      <c r="D567" t="s">
        <v>112</v>
      </c>
      <c r="F567" t="s">
        <v>580</v>
      </c>
      <c r="G567" t="s">
        <v>231</v>
      </c>
      <c r="H567" t="s">
        <v>47</v>
      </c>
      <c r="I567" s="49">
        <v>44155</v>
      </c>
      <c r="J567" s="47">
        <v>7017602.7599999998</v>
      </c>
      <c r="K567">
        <v>58730.98</v>
      </c>
      <c r="L567">
        <v>7000000</v>
      </c>
      <c r="M567">
        <v>2.0301480000000001</v>
      </c>
      <c r="N567">
        <v>2.64</v>
      </c>
      <c r="O567" t="s">
        <v>42</v>
      </c>
      <c r="P567" t="s">
        <v>23</v>
      </c>
      <c r="Q567" s="49">
        <v>42901</v>
      </c>
      <c r="R567" s="49" t="str">
        <f>DataTable[HLD_Portfolio]&amp;DataTable[HLD_Date]</f>
        <v>SCBRM243381</v>
      </c>
    </row>
    <row r="568" spans="1:18" x14ac:dyDescent="0.2">
      <c r="A568" s="49">
        <v>43381</v>
      </c>
      <c r="B568" t="s">
        <v>387</v>
      </c>
      <c r="C568" t="s">
        <v>18</v>
      </c>
      <c r="D568" t="s">
        <v>112</v>
      </c>
      <c r="F568" t="s">
        <v>683</v>
      </c>
      <c r="G568" t="s">
        <v>233</v>
      </c>
      <c r="H568" t="s">
        <v>126</v>
      </c>
      <c r="I568" s="49">
        <v>43962</v>
      </c>
      <c r="J568" s="47">
        <v>75039783.75</v>
      </c>
      <c r="K568">
        <v>834636.75</v>
      </c>
      <c r="L568">
        <v>75667769.25</v>
      </c>
      <c r="M568">
        <v>1.530702</v>
      </c>
      <c r="N568">
        <v>2.11</v>
      </c>
      <c r="O568" t="s">
        <v>42</v>
      </c>
      <c r="P568" t="s">
        <v>23</v>
      </c>
      <c r="Q568" s="49">
        <v>42866</v>
      </c>
      <c r="R568" s="49" t="str">
        <f>DataTable[HLD_Portfolio]&amp;DataTable[HLD_Date]</f>
        <v>SCBRM243381</v>
      </c>
    </row>
    <row r="569" spans="1:18" x14ac:dyDescent="0.2">
      <c r="A569" s="49">
        <v>43381</v>
      </c>
      <c r="B569" t="s">
        <v>387</v>
      </c>
      <c r="C569" t="s">
        <v>18</v>
      </c>
      <c r="D569" t="s">
        <v>112</v>
      </c>
      <c r="F569" t="s">
        <v>684</v>
      </c>
      <c r="G569" t="s">
        <v>636</v>
      </c>
      <c r="H569" t="s">
        <v>537</v>
      </c>
      <c r="I569" s="49">
        <v>45421</v>
      </c>
      <c r="J569" s="47">
        <v>13277764.24</v>
      </c>
      <c r="K569">
        <v>198900</v>
      </c>
      <c r="L569">
        <v>13000000</v>
      </c>
      <c r="M569">
        <v>4.955228</v>
      </c>
      <c r="N569">
        <v>3.65</v>
      </c>
      <c r="O569" t="s">
        <v>42</v>
      </c>
      <c r="P569" t="s">
        <v>23</v>
      </c>
      <c r="Q569" s="49">
        <v>42864</v>
      </c>
      <c r="R569" s="49" t="str">
        <f>DataTable[HLD_Portfolio]&amp;DataTable[HLD_Date]</f>
        <v>SCBRM243381</v>
      </c>
    </row>
    <row r="570" spans="1:18" x14ac:dyDescent="0.2">
      <c r="A570" s="49">
        <v>43381</v>
      </c>
      <c r="B570" t="s">
        <v>387</v>
      </c>
      <c r="C570" t="s">
        <v>18</v>
      </c>
      <c r="D570" t="s">
        <v>112</v>
      </c>
      <c r="F570" t="s">
        <v>685</v>
      </c>
      <c r="G570" t="s">
        <v>84</v>
      </c>
      <c r="H570" t="s">
        <v>47</v>
      </c>
      <c r="I570" s="49">
        <v>43878</v>
      </c>
      <c r="J570" s="47">
        <v>1006381.94</v>
      </c>
      <c r="K570">
        <v>3775.34</v>
      </c>
      <c r="L570">
        <v>1000000</v>
      </c>
      <c r="M570">
        <v>1.3258110000000001</v>
      </c>
      <c r="N570">
        <v>2.6</v>
      </c>
      <c r="O570" t="s">
        <v>42</v>
      </c>
      <c r="P570" t="s">
        <v>23</v>
      </c>
      <c r="Q570" s="49">
        <v>42783</v>
      </c>
      <c r="R570" s="49" t="str">
        <f>DataTable[HLD_Portfolio]&amp;DataTable[HLD_Date]</f>
        <v>SCBRM243381</v>
      </c>
    </row>
    <row r="571" spans="1:18" x14ac:dyDescent="0.2">
      <c r="A571" s="49">
        <v>43381</v>
      </c>
      <c r="B571" t="s">
        <v>387</v>
      </c>
      <c r="C571" t="s">
        <v>18</v>
      </c>
      <c r="D571" t="s">
        <v>112</v>
      </c>
      <c r="F571" t="s">
        <v>637</v>
      </c>
      <c r="G571" t="s">
        <v>237</v>
      </c>
      <c r="H571" t="s">
        <v>206</v>
      </c>
      <c r="I571" s="49">
        <v>44639</v>
      </c>
      <c r="J571" s="47">
        <v>99914858</v>
      </c>
      <c r="K571">
        <v>175342</v>
      </c>
      <c r="L571">
        <v>100000000</v>
      </c>
      <c r="M571">
        <v>3.227789</v>
      </c>
      <c r="N571">
        <v>3.2</v>
      </c>
      <c r="O571" t="s">
        <v>42</v>
      </c>
      <c r="P571" t="s">
        <v>23</v>
      </c>
      <c r="Q571" s="49">
        <v>43362</v>
      </c>
      <c r="R571" s="49" t="str">
        <f>DataTable[HLD_Portfolio]&amp;DataTable[HLD_Date]</f>
        <v>SCBRM243381</v>
      </c>
    </row>
    <row r="572" spans="1:18" x14ac:dyDescent="0.2">
      <c r="A572" s="49">
        <v>43381</v>
      </c>
      <c r="B572" t="s">
        <v>387</v>
      </c>
      <c r="C572" t="s">
        <v>18</v>
      </c>
      <c r="D572" t="s">
        <v>112</v>
      </c>
      <c r="F572" t="s">
        <v>686</v>
      </c>
      <c r="G572" t="s">
        <v>237</v>
      </c>
      <c r="H572" t="s">
        <v>206</v>
      </c>
      <c r="I572" s="49">
        <v>45007</v>
      </c>
      <c r="J572" s="47">
        <v>20580356.579999998</v>
      </c>
      <c r="K572">
        <v>26995.08</v>
      </c>
      <c r="L572">
        <v>21000000</v>
      </c>
      <c r="M572">
        <v>4.141635</v>
      </c>
      <c r="N572">
        <v>2.76</v>
      </c>
      <c r="O572" t="s">
        <v>42</v>
      </c>
      <c r="P572" t="s">
        <v>23</v>
      </c>
      <c r="Q572" s="49">
        <v>43181</v>
      </c>
      <c r="R572" s="49" t="str">
        <f>DataTable[HLD_Portfolio]&amp;DataTable[HLD_Date]</f>
        <v>SCBRM243381</v>
      </c>
    </row>
    <row r="573" spans="1:18" x14ac:dyDescent="0.2">
      <c r="A573" s="49">
        <v>43381</v>
      </c>
      <c r="B573" t="s">
        <v>387</v>
      </c>
      <c r="C573" t="s">
        <v>18</v>
      </c>
      <c r="D573" t="s">
        <v>112</v>
      </c>
      <c r="F573" t="s">
        <v>588</v>
      </c>
      <c r="G573" t="s">
        <v>245</v>
      </c>
      <c r="H573" t="s">
        <v>29</v>
      </c>
      <c r="I573" s="49">
        <v>43431</v>
      </c>
      <c r="J573" s="47">
        <v>20007290</v>
      </c>
      <c r="K573">
        <v>276098.59999999998</v>
      </c>
      <c r="L573">
        <v>20000000</v>
      </c>
      <c r="M573">
        <v>0.133906</v>
      </c>
      <c r="N573">
        <v>2.2799999999999998</v>
      </c>
      <c r="O573" t="s">
        <v>42</v>
      </c>
      <c r="P573" t="s">
        <v>23</v>
      </c>
      <c r="Q573" s="49">
        <v>43161</v>
      </c>
      <c r="R573" s="49" t="str">
        <f>DataTable[HLD_Portfolio]&amp;DataTable[HLD_Date]</f>
        <v>SCBRM243381</v>
      </c>
    </row>
    <row r="574" spans="1:18" x14ac:dyDescent="0.2">
      <c r="A574" s="49">
        <v>43381</v>
      </c>
      <c r="B574" t="s">
        <v>387</v>
      </c>
      <c r="C574" t="s">
        <v>18</v>
      </c>
      <c r="D574" t="s">
        <v>112</v>
      </c>
      <c r="F574" t="s">
        <v>638</v>
      </c>
      <c r="G574" t="s">
        <v>245</v>
      </c>
      <c r="H574" t="s">
        <v>29</v>
      </c>
      <c r="I574" s="49">
        <v>43494</v>
      </c>
      <c r="J574" s="47">
        <v>10004408.4</v>
      </c>
      <c r="K574">
        <v>99561.600000000006</v>
      </c>
      <c r="L574">
        <v>10000000</v>
      </c>
      <c r="M574">
        <v>0.30485299999999999</v>
      </c>
      <c r="N574">
        <v>2.2999999999999998</v>
      </c>
      <c r="O574" t="s">
        <v>42</v>
      </c>
      <c r="P574" t="s">
        <v>23</v>
      </c>
      <c r="Q574" s="49">
        <v>43224</v>
      </c>
      <c r="R574" s="49" t="str">
        <f>DataTable[HLD_Portfolio]&amp;DataTable[HLD_Date]</f>
        <v>SCBRM243381</v>
      </c>
    </row>
    <row r="575" spans="1:18" x14ac:dyDescent="0.2">
      <c r="A575" s="49">
        <v>43381</v>
      </c>
      <c r="B575" t="s">
        <v>387</v>
      </c>
      <c r="C575" t="s">
        <v>18</v>
      </c>
      <c r="D575" t="s">
        <v>112</v>
      </c>
      <c r="F575" t="s">
        <v>246</v>
      </c>
      <c r="G575" t="s">
        <v>247</v>
      </c>
      <c r="H575" t="s">
        <v>29</v>
      </c>
      <c r="I575" s="49">
        <v>43494</v>
      </c>
      <c r="J575" s="47">
        <v>42008933.82</v>
      </c>
      <c r="K575">
        <v>354641.28</v>
      </c>
      <c r="L575">
        <v>42000000</v>
      </c>
      <c r="M575">
        <v>0.30478100000000002</v>
      </c>
      <c r="N575">
        <v>2.2999999999999998</v>
      </c>
      <c r="O575" t="s">
        <v>42</v>
      </c>
      <c r="P575" t="s">
        <v>23</v>
      </c>
      <c r="Q575" s="49">
        <v>43248</v>
      </c>
      <c r="R575" s="49" t="str">
        <f>DataTable[HLD_Portfolio]&amp;DataTable[HLD_Date]</f>
        <v>SCBRM243381</v>
      </c>
    </row>
    <row r="576" spans="1:18" x14ac:dyDescent="0.2">
      <c r="A576" s="49">
        <v>43381</v>
      </c>
      <c r="B576" t="s">
        <v>387</v>
      </c>
      <c r="C576" t="s">
        <v>18</v>
      </c>
      <c r="D576" t="s">
        <v>112</v>
      </c>
      <c r="F576" t="s">
        <v>251</v>
      </c>
      <c r="G576" t="s">
        <v>252</v>
      </c>
      <c r="H576" t="s">
        <v>47</v>
      </c>
      <c r="I576" s="49">
        <v>44285</v>
      </c>
      <c r="J576" s="47">
        <v>25814939.800000001</v>
      </c>
      <c r="K576">
        <v>14488.76</v>
      </c>
      <c r="L576">
        <v>26000000</v>
      </c>
      <c r="M576">
        <v>2.3967779999999999</v>
      </c>
      <c r="N576">
        <v>2.2599999999999998</v>
      </c>
      <c r="O576" t="s">
        <v>42</v>
      </c>
      <c r="P576" t="s">
        <v>23</v>
      </c>
      <c r="Q576" s="49">
        <v>43189</v>
      </c>
      <c r="R576" s="49" t="str">
        <f>DataTable[HLD_Portfolio]&amp;DataTable[HLD_Date]</f>
        <v>SCBRM243381</v>
      </c>
    </row>
    <row r="577" spans="1:18" x14ac:dyDescent="0.2">
      <c r="A577" s="49">
        <v>43381</v>
      </c>
      <c r="B577" t="s">
        <v>387</v>
      </c>
      <c r="C577" t="s">
        <v>18</v>
      </c>
      <c r="D577" t="s">
        <v>112</v>
      </c>
      <c r="F577" t="s">
        <v>253</v>
      </c>
      <c r="G577" t="s">
        <v>254</v>
      </c>
      <c r="H577" t="s">
        <v>126</v>
      </c>
      <c r="I577" s="49">
        <v>44061</v>
      </c>
      <c r="J577" s="47">
        <v>18158182.559999999</v>
      </c>
      <c r="K577">
        <v>85393.98</v>
      </c>
      <c r="L577">
        <v>18000000</v>
      </c>
      <c r="M577">
        <v>1.787984</v>
      </c>
      <c r="N577">
        <v>3.33</v>
      </c>
      <c r="O577" t="s">
        <v>42</v>
      </c>
      <c r="P577" t="s">
        <v>23</v>
      </c>
      <c r="Q577" s="49">
        <v>42965</v>
      </c>
      <c r="R577" s="49" t="str">
        <f>DataTable[HLD_Portfolio]&amp;DataTable[HLD_Date]</f>
        <v>SCBRM243381</v>
      </c>
    </row>
    <row r="578" spans="1:18" x14ac:dyDescent="0.2">
      <c r="A578" s="49">
        <v>43381</v>
      </c>
      <c r="B578" t="s">
        <v>387</v>
      </c>
      <c r="C578" t="s">
        <v>116</v>
      </c>
      <c r="D578" t="s">
        <v>687</v>
      </c>
      <c r="F578" t="s">
        <v>688</v>
      </c>
      <c r="G578" t="s">
        <v>26</v>
      </c>
      <c r="H578" t="s">
        <v>27</v>
      </c>
      <c r="I578" s="49">
        <v>46373</v>
      </c>
      <c r="J578" s="47">
        <v>388960.55</v>
      </c>
      <c r="L578">
        <v>0</v>
      </c>
      <c r="M578">
        <v>0</v>
      </c>
      <c r="N578">
        <v>0</v>
      </c>
      <c r="O578" t="s">
        <v>689</v>
      </c>
      <c r="P578" t="s">
        <v>23</v>
      </c>
      <c r="Q578" s="49">
        <v>2</v>
      </c>
      <c r="R578" s="49" t="str">
        <f>DataTable[HLD_Portfolio]&amp;DataTable[HLD_Date]</f>
        <v>SCBRM243381</v>
      </c>
    </row>
    <row r="579" spans="1:18" x14ac:dyDescent="0.2">
      <c r="A579" s="49">
        <v>43381</v>
      </c>
      <c r="B579" t="s">
        <v>387</v>
      </c>
      <c r="C579" t="s">
        <v>131</v>
      </c>
      <c r="D579" t="s">
        <v>310</v>
      </c>
      <c r="E579" t="s">
        <v>389</v>
      </c>
      <c r="F579" t="s">
        <v>20</v>
      </c>
      <c r="I579" s="49"/>
      <c r="J579" s="47">
        <v>822446.51</v>
      </c>
      <c r="L579">
        <v>822446.51</v>
      </c>
      <c r="M579">
        <v>0</v>
      </c>
      <c r="N579">
        <v>0</v>
      </c>
      <c r="O579" t="s">
        <v>22</v>
      </c>
      <c r="P579" t="s">
        <v>23</v>
      </c>
      <c r="Q579" s="49">
        <v>2</v>
      </c>
      <c r="R579" s="49" t="str">
        <f>DataTable[HLD_Portfolio]&amp;DataTable[HLD_Date]</f>
        <v>SCBRM243381</v>
      </c>
    </row>
    <row r="580" spans="1:18" x14ac:dyDescent="0.2">
      <c r="A580" s="49">
        <v>43381</v>
      </c>
      <c r="B580" t="s">
        <v>387</v>
      </c>
      <c r="C580" t="s">
        <v>131</v>
      </c>
      <c r="D580" t="s">
        <v>310</v>
      </c>
      <c r="E580" t="s">
        <v>643</v>
      </c>
      <c r="F580" t="s">
        <v>20</v>
      </c>
      <c r="I580" s="49"/>
      <c r="J580" s="47">
        <v>136776</v>
      </c>
      <c r="L580">
        <v>136776</v>
      </c>
      <c r="M580">
        <v>0</v>
      </c>
      <c r="N580">
        <v>0</v>
      </c>
      <c r="O580" t="s">
        <v>22</v>
      </c>
      <c r="P580" t="s">
        <v>23</v>
      </c>
      <c r="Q580" s="49">
        <v>2</v>
      </c>
      <c r="R580" s="49" t="str">
        <f>DataTable[HLD_Portfolio]&amp;DataTable[HLD_Date]</f>
        <v>SCBRM243381</v>
      </c>
    </row>
    <row r="581" spans="1:18" x14ac:dyDescent="0.2">
      <c r="A581" s="49">
        <v>43381</v>
      </c>
      <c r="B581" t="s">
        <v>387</v>
      </c>
      <c r="C581" t="s">
        <v>131</v>
      </c>
      <c r="D581" t="s">
        <v>310</v>
      </c>
      <c r="E581" t="s">
        <v>644</v>
      </c>
      <c r="F581" t="s">
        <v>20</v>
      </c>
      <c r="I581" s="49"/>
      <c r="J581" s="47">
        <v>315664.90000000002</v>
      </c>
      <c r="L581">
        <v>315664.90000000002</v>
      </c>
      <c r="M581">
        <v>0</v>
      </c>
      <c r="N581">
        <v>0</v>
      </c>
      <c r="O581" t="s">
        <v>22</v>
      </c>
      <c r="P581" t="s">
        <v>23</v>
      </c>
      <c r="Q581" s="49">
        <v>2</v>
      </c>
      <c r="R581" s="49" t="str">
        <f>DataTable[HLD_Portfolio]&amp;DataTable[HLD_Date]</f>
        <v>SCBRM243381</v>
      </c>
    </row>
    <row r="582" spans="1:18" x14ac:dyDescent="0.2">
      <c r="A582" s="49">
        <v>43381</v>
      </c>
      <c r="B582" t="s">
        <v>387</v>
      </c>
      <c r="C582" t="s">
        <v>131</v>
      </c>
      <c r="D582" t="s">
        <v>690</v>
      </c>
      <c r="E582" t="s">
        <v>389</v>
      </c>
      <c r="F582" t="s">
        <v>20</v>
      </c>
      <c r="I582" s="49"/>
      <c r="J582" s="47">
        <v>400000</v>
      </c>
      <c r="L582">
        <v>400000</v>
      </c>
      <c r="M582">
        <v>0</v>
      </c>
      <c r="N582">
        <v>0</v>
      </c>
      <c r="O582" t="s">
        <v>22</v>
      </c>
      <c r="P582" t="s">
        <v>23</v>
      </c>
      <c r="Q582" s="49">
        <v>2</v>
      </c>
      <c r="R582" s="49" t="str">
        <f>DataTable[HLD_Portfolio]&amp;DataTable[HLD_Date]</f>
        <v>SCBRM243381</v>
      </c>
    </row>
    <row r="583" spans="1:18" x14ac:dyDescent="0.2">
      <c r="A583" s="49">
        <v>43381</v>
      </c>
      <c r="B583" t="s">
        <v>387</v>
      </c>
      <c r="C583" t="s">
        <v>132</v>
      </c>
      <c r="D583" t="s">
        <v>134</v>
      </c>
      <c r="E583" t="s">
        <v>134</v>
      </c>
      <c r="F583" t="s">
        <v>134</v>
      </c>
      <c r="I583" s="49"/>
      <c r="J583" s="47">
        <v>-57561.67</v>
      </c>
      <c r="N583">
        <v>0</v>
      </c>
      <c r="Q583" s="49"/>
      <c r="R583" s="49" t="str">
        <f>DataTable[HLD_Portfolio]&amp;DataTable[HLD_Date]</f>
        <v>SCBRM243381</v>
      </c>
    </row>
    <row r="584" spans="1:18" x14ac:dyDescent="0.2">
      <c r="A584" s="49">
        <v>43381</v>
      </c>
      <c r="B584" t="s">
        <v>387</v>
      </c>
      <c r="C584" t="s">
        <v>132</v>
      </c>
      <c r="D584" t="s">
        <v>645</v>
      </c>
      <c r="E584" t="s">
        <v>389</v>
      </c>
      <c r="F584" t="s">
        <v>20</v>
      </c>
      <c r="I584" s="49"/>
      <c r="J584" s="47">
        <v>-200.69</v>
      </c>
      <c r="L584">
        <v>-200.69</v>
      </c>
      <c r="M584">
        <v>0</v>
      </c>
      <c r="N584">
        <v>0</v>
      </c>
      <c r="O584" t="s">
        <v>22</v>
      </c>
      <c r="P584" t="s">
        <v>23</v>
      </c>
      <c r="Q584" s="49">
        <v>2</v>
      </c>
      <c r="R584" s="49" t="str">
        <f>DataTable[HLD_Portfolio]&amp;DataTable[HLD_Date]</f>
        <v>SCBRM243381</v>
      </c>
    </row>
    <row r="585" spans="1:18" x14ac:dyDescent="0.2">
      <c r="A585" s="49">
        <v>43381</v>
      </c>
      <c r="B585" t="s">
        <v>387</v>
      </c>
      <c r="C585" t="s">
        <v>132</v>
      </c>
      <c r="D585" t="s">
        <v>135</v>
      </c>
      <c r="I585" s="49"/>
      <c r="J585" s="47">
        <v>-109988.86</v>
      </c>
      <c r="K585">
        <v>0</v>
      </c>
      <c r="N585">
        <v>0</v>
      </c>
      <c r="Q585" s="49"/>
      <c r="R585" s="49" t="str">
        <f>DataTable[HLD_Portfolio]&amp;DataTable[HLD_Date]</f>
        <v>SCBRM243381</v>
      </c>
    </row>
    <row r="586" spans="1:18" x14ac:dyDescent="0.2">
      <c r="A586" s="49">
        <v>43381</v>
      </c>
      <c r="B586" t="s">
        <v>387</v>
      </c>
      <c r="C586" t="s">
        <v>132</v>
      </c>
      <c r="D586" t="s">
        <v>137</v>
      </c>
      <c r="E586" t="s">
        <v>137</v>
      </c>
      <c r="I586" s="49"/>
      <c r="J586" s="47">
        <v>-27104.01</v>
      </c>
      <c r="L586">
        <v>-27104.01</v>
      </c>
      <c r="N586">
        <v>0</v>
      </c>
      <c r="Q586" s="49"/>
      <c r="R586" s="49" t="str">
        <f>DataTable[HLD_Portfolio]&amp;DataTable[HLD_Date]</f>
        <v>SCBRM243381</v>
      </c>
    </row>
    <row r="587" spans="1:18" x14ac:dyDescent="0.2">
      <c r="A587" s="49">
        <v>43381</v>
      </c>
      <c r="B587" t="s">
        <v>387</v>
      </c>
      <c r="C587" t="s">
        <v>132</v>
      </c>
      <c r="D587" t="s">
        <v>138</v>
      </c>
      <c r="E587" t="s">
        <v>138</v>
      </c>
      <c r="I587" s="49"/>
      <c r="J587" s="47">
        <v>-513621.05</v>
      </c>
      <c r="L587">
        <v>-513621.05</v>
      </c>
      <c r="N587">
        <v>0</v>
      </c>
      <c r="Q587" s="49"/>
      <c r="R587" s="49" t="str">
        <f>DataTable[HLD_Portfolio]&amp;DataTable[HLD_Date]</f>
        <v>SCBRM243381</v>
      </c>
    </row>
    <row r="588" spans="1:18" x14ac:dyDescent="0.2">
      <c r="A588" s="49">
        <v>43381</v>
      </c>
      <c r="B588" t="s">
        <v>387</v>
      </c>
      <c r="C588" t="s">
        <v>132</v>
      </c>
      <c r="D588" t="s">
        <v>646</v>
      </c>
      <c r="E588" t="s">
        <v>646</v>
      </c>
      <c r="I588" s="49"/>
      <c r="J588" s="47">
        <v>-90346.71</v>
      </c>
      <c r="L588">
        <v>-90346.71</v>
      </c>
      <c r="N588">
        <v>0</v>
      </c>
      <c r="Q588" s="49"/>
      <c r="R588" s="49" t="str">
        <f>DataTable[HLD_Portfolio]&amp;DataTable[HLD_Date]</f>
        <v>SCBRM243381</v>
      </c>
    </row>
    <row r="589" spans="1:18" x14ac:dyDescent="0.2">
      <c r="A589" s="49">
        <v>43381</v>
      </c>
      <c r="B589" t="s">
        <v>387</v>
      </c>
      <c r="C589" t="s">
        <v>132</v>
      </c>
      <c r="D589" t="s">
        <v>139</v>
      </c>
      <c r="E589" t="s">
        <v>139</v>
      </c>
      <c r="I589" s="49"/>
      <c r="J589" s="47">
        <v>0</v>
      </c>
      <c r="L589">
        <v>0</v>
      </c>
      <c r="N589">
        <v>0</v>
      </c>
      <c r="Q589" s="49"/>
      <c r="R589" s="49" t="str">
        <f>DataTable[HLD_Portfolio]&amp;DataTable[HLD_Date]</f>
        <v>SCBRM243381</v>
      </c>
    </row>
    <row r="590" spans="1:18" x14ac:dyDescent="0.2">
      <c r="A590" s="49">
        <v>43381</v>
      </c>
      <c r="B590" t="s">
        <v>387</v>
      </c>
      <c r="C590" t="s">
        <v>140</v>
      </c>
      <c r="D590" t="s">
        <v>137</v>
      </c>
      <c r="E590" t="s">
        <v>137</v>
      </c>
      <c r="I590" s="49"/>
      <c r="J590" s="47">
        <v>-16251.76</v>
      </c>
      <c r="L590">
        <v>-16251.76</v>
      </c>
      <c r="N590">
        <v>0</v>
      </c>
      <c r="Q590" s="49"/>
      <c r="R590" s="49" t="str">
        <f>DataTable[HLD_Portfolio]&amp;DataTable[HLD_Date]</f>
        <v>SCBRM243381</v>
      </c>
    </row>
    <row r="591" spans="1:18" x14ac:dyDescent="0.2">
      <c r="A591" s="49">
        <v>43381</v>
      </c>
      <c r="B591" t="s">
        <v>387</v>
      </c>
      <c r="C591" t="s">
        <v>140</v>
      </c>
      <c r="D591" t="s">
        <v>138</v>
      </c>
      <c r="E591" t="s">
        <v>138</v>
      </c>
      <c r="I591" s="49"/>
      <c r="J591" s="47">
        <v>-307970.92</v>
      </c>
      <c r="L591">
        <v>-307970.92</v>
      </c>
      <c r="N591">
        <v>0</v>
      </c>
      <c r="Q591" s="49"/>
      <c r="R591" s="49" t="str">
        <f>DataTable[HLD_Portfolio]&amp;DataTable[HLD_Date]</f>
        <v>SCBRM243381</v>
      </c>
    </row>
    <row r="592" spans="1:18" x14ac:dyDescent="0.2">
      <c r="A592" s="49">
        <v>43381</v>
      </c>
      <c r="B592" t="s">
        <v>387</v>
      </c>
      <c r="C592" t="s">
        <v>140</v>
      </c>
      <c r="D592" t="s">
        <v>646</v>
      </c>
      <c r="E592" t="s">
        <v>646</v>
      </c>
      <c r="I592" s="49"/>
      <c r="J592" s="47">
        <v>-54172.54</v>
      </c>
      <c r="L592">
        <v>-54172.54</v>
      </c>
      <c r="N592">
        <v>0</v>
      </c>
      <c r="Q592" s="49"/>
      <c r="R592" s="49" t="str">
        <f>DataTable[HLD_Portfolio]&amp;DataTable[HLD_Date]</f>
        <v>SCBRM243381</v>
      </c>
    </row>
    <row r="593" spans="1:18" x14ac:dyDescent="0.2">
      <c r="A593" s="49">
        <v>43381</v>
      </c>
      <c r="B593" t="s">
        <v>387</v>
      </c>
      <c r="C593" t="s">
        <v>140</v>
      </c>
      <c r="D593" t="s">
        <v>139</v>
      </c>
      <c r="E593" t="s">
        <v>139</v>
      </c>
      <c r="I593" s="49"/>
      <c r="J593" s="47">
        <v>0</v>
      </c>
      <c r="L593">
        <v>0</v>
      </c>
      <c r="N593">
        <v>0</v>
      </c>
      <c r="Q593" s="49"/>
      <c r="R593" s="49" t="str">
        <f>DataTable[HLD_Portfolio]&amp;DataTable[HLD_Date]</f>
        <v>SCBRM243381</v>
      </c>
    </row>
    <row r="594" spans="1:18" x14ac:dyDescent="0.2">
      <c r="A594" s="49">
        <v>43381</v>
      </c>
      <c r="B594" t="s">
        <v>383</v>
      </c>
      <c r="C594" t="s">
        <v>18</v>
      </c>
      <c r="D594" t="s">
        <v>19</v>
      </c>
      <c r="F594" t="s">
        <v>20</v>
      </c>
      <c r="G594" t="s">
        <v>149</v>
      </c>
      <c r="I594" s="49"/>
      <c r="J594" s="47">
        <v>12733576.08</v>
      </c>
      <c r="K594">
        <v>16725.77</v>
      </c>
      <c r="L594">
        <v>12733576.08</v>
      </c>
      <c r="M594">
        <v>0</v>
      </c>
      <c r="N594">
        <v>0</v>
      </c>
      <c r="O594" t="s">
        <v>22</v>
      </c>
      <c r="P594" t="s">
        <v>23</v>
      </c>
      <c r="Q594" s="49">
        <v>2</v>
      </c>
      <c r="R594" s="49" t="str">
        <f>DataTable[HLD_Portfolio]&amp;DataTable[HLD_Date]</f>
        <v>SCBFPFUND43381</v>
      </c>
    </row>
    <row r="595" spans="1:18" x14ac:dyDescent="0.2">
      <c r="A595" s="49">
        <v>43381</v>
      </c>
      <c r="B595" t="s">
        <v>383</v>
      </c>
      <c r="C595" t="s">
        <v>18</v>
      </c>
      <c r="D595" t="s">
        <v>19</v>
      </c>
      <c r="F595" t="s">
        <v>145</v>
      </c>
      <c r="G595" t="s">
        <v>146</v>
      </c>
      <c r="I595" s="49"/>
      <c r="J595" s="47">
        <v>0</v>
      </c>
      <c r="L595">
        <v>0</v>
      </c>
      <c r="M595">
        <v>0</v>
      </c>
      <c r="N595">
        <v>0</v>
      </c>
      <c r="O595" t="s">
        <v>22</v>
      </c>
      <c r="P595" t="s">
        <v>147</v>
      </c>
      <c r="Q595" s="49">
        <v>2</v>
      </c>
      <c r="R595" s="49" t="str">
        <f>DataTable[HLD_Portfolio]&amp;DataTable[HLD_Date]</f>
        <v>SCBFPFUND43381</v>
      </c>
    </row>
    <row r="596" spans="1:18" x14ac:dyDescent="0.2">
      <c r="A596" s="49">
        <v>43381</v>
      </c>
      <c r="B596" t="s">
        <v>383</v>
      </c>
      <c r="C596" t="s">
        <v>18</v>
      </c>
      <c r="D596" t="s">
        <v>19</v>
      </c>
      <c r="F596" t="s">
        <v>25</v>
      </c>
      <c r="G596" t="s">
        <v>26</v>
      </c>
      <c r="H596" t="s">
        <v>27</v>
      </c>
      <c r="I596" s="49"/>
      <c r="J596" s="47">
        <v>0</v>
      </c>
      <c r="L596">
        <v>0</v>
      </c>
      <c r="M596">
        <v>0</v>
      </c>
      <c r="N596">
        <v>0</v>
      </c>
      <c r="O596" t="s">
        <v>22</v>
      </c>
      <c r="P596" t="s">
        <v>28</v>
      </c>
      <c r="Q596" s="49">
        <v>2</v>
      </c>
      <c r="R596" s="49" t="str">
        <f>DataTable[HLD_Portfolio]&amp;DataTable[HLD_Date]</f>
        <v>SCBFPFUND43381</v>
      </c>
    </row>
    <row r="597" spans="1:18" x14ac:dyDescent="0.2">
      <c r="A597" s="49">
        <v>43381</v>
      </c>
      <c r="B597" t="s">
        <v>383</v>
      </c>
      <c r="C597" t="s">
        <v>18</v>
      </c>
      <c r="D597" t="s">
        <v>19</v>
      </c>
      <c r="F597" t="s">
        <v>30</v>
      </c>
      <c r="G597" t="s">
        <v>26</v>
      </c>
      <c r="H597" t="s">
        <v>27</v>
      </c>
      <c r="I597" s="49"/>
      <c r="J597" s="47">
        <v>0</v>
      </c>
      <c r="L597">
        <v>0</v>
      </c>
      <c r="M597">
        <v>0</v>
      </c>
      <c r="N597">
        <v>0</v>
      </c>
      <c r="O597" t="s">
        <v>22</v>
      </c>
      <c r="P597" t="s">
        <v>31</v>
      </c>
      <c r="Q597" s="49">
        <v>2</v>
      </c>
      <c r="R597" s="49" t="str">
        <f>DataTable[HLD_Portfolio]&amp;DataTable[HLD_Date]</f>
        <v>SCBFPFUND43381</v>
      </c>
    </row>
    <row r="598" spans="1:18" x14ac:dyDescent="0.2">
      <c r="A598" s="49">
        <v>43381</v>
      </c>
      <c r="B598" t="s">
        <v>383</v>
      </c>
      <c r="C598" t="s">
        <v>18</v>
      </c>
      <c r="D598" t="s">
        <v>19</v>
      </c>
      <c r="F598" t="s">
        <v>148</v>
      </c>
      <c r="G598" t="s">
        <v>149</v>
      </c>
      <c r="H598" t="s">
        <v>27</v>
      </c>
      <c r="I598" s="49"/>
      <c r="J598" s="47">
        <v>0</v>
      </c>
      <c r="L598">
        <v>0</v>
      </c>
      <c r="M598">
        <v>0</v>
      </c>
      <c r="N598">
        <v>0</v>
      </c>
      <c r="O598" t="s">
        <v>22</v>
      </c>
      <c r="P598" t="s">
        <v>150</v>
      </c>
      <c r="Q598" s="49">
        <v>2</v>
      </c>
      <c r="R598" s="49" t="str">
        <f>DataTable[HLD_Portfolio]&amp;DataTable[HLD_Date]</f>
        <v>SCBFPFUND43381</v>
      </c>
    </row>
    <row r="599" spans="1:18" x14ac:dyDescent="0.2">
      <c r="A599" s="49">
        <v>43381</v>
      </c>
      <c r="B599" t="s">
        <v>383</v>
      </c>
      <c r="C599" t="s">
        <v>18</v>
      </c>
      <c r="D599" t="s">
        <v>19</v>
      </c>
      <c r="F599" t="s">
        <v>32</v>
      </c>
      <c r="G599" t="s">
        <v>26</v>
      </c>
      <c r="H599" t="s">
        <v>27</v>
      </c>
      <c r="I599" s="49"/>
      <c r="J599" s="47">
        <v>0</v>
      </c>
      <c r="L599">
        <v>0</v>
      </c>
      <c r="M599">
        <v>0</v>
      </c>
      <c r="N599">
        <v>0</v>
      </c>
      <c r="O599" t="s">
        <v>22</v>
      </c>
      <c r="P599" t="s">
        <v>33</v>
      </c>
      <c r="Q599" s="49">
        <v>2</v>
      </c>
      <c r="R599" s="49" t="str">
        <f>DataTable[HLD_Portfolio]&amp;DataTable[HLD_Date]</f>
        <v>SCBFPFUND43381</v>
      </c>
    </row>
    <row r="600" spans="1:18" x14ac:dyDescent="0.2">
      <c r="A600" s="49">
        <v>43381</v>
      </c>
      <c r="B600" t="s">
        <v>383</v>
      </c>
      <c r="C600" t="s">
        <v>18</v>
      </c>
      <c r="D600" t="s">
        <v>19</v>
      </c>
      <c r="F600" t="s">
        <v>151</v>
      </c>
      <c r="G600" t="s">
        <v>26</v>
      </c>
      <c r="H600" t="s">
        <v>27</v>
      </c>
      <c r="I600" s="49"/>
      <c r="J600" s="47">
        <v>0</v>
      </c>
      <c r="L600">
        <v>0</v>
      </c>
      <c r="M600">
        <v>0</v>
      </c>
      <c r="N600">
        <v>0</v>
      </c>
      <c r="O600" t="s">
        <v>22</v>
      </c>
      <c r="P600" t="s">
        <v>152</v>
      </c>
      <c r="Q600" s="49">
        <v>2</v>
      </c>
      <c r="R600" s="49" t="str">
        <f>DataTable[HLD_Portfolio]&amp;DataTable[HLD_Date]</f>
        <v>SCBFPFUND43381</v>
      </c>
    </row>
    <row r="601" spans="1:18" x14ac:dyDescent="0.2">
      <c r="A601" s="49">
        <v>43381</v>
      </c>
      <c r="B601" t="s">
        <v>383</v>
      </c>
      <c r="C601" t="s">
        <v>18</v>
      </c>
      <c r="D601" t="s">
        <v>19</v>
      </c>
      <c r="F601" t="s">
        <v>36</v>
      </c>
      <c r="G601" t="s">
        <v>26</v>
      </c>
      <c r="H601" t="s">
        <v>27</v>
      </c>
      <c r="I601" s="49"/>
      <c r="J601" s="47">
        <v>0</v>
      </c>
      <c r="L601">
        <v>0</v>
      </c>
      <c r="M601">
        <v>0</v>
      </c>
      <c r="N601">
        <v>0</v>
      </c>
      <c r="O601" t="s">
        <v>22</v>
      </c>
      <c r="P601" t="s">
        <v>37</v>
      </c>
      <c r="Q601" s="49">
        <v>2</v>
      </c>
      <c r="R601" s="49" t="str">
        <f>DataTable[HLD_Portfolio]&amp;DataTable[HLD_Date]</f>
        <v>SCBFPFUND43381</v>
      </c>
    </row>
    <row r="602" spans="1:18" x14ac:dyDescent="0.2">
      <c r="A602" s="49">
        <v>43381</v>
      </c>
      <c r="B602" t="s">
        <v>383</v>
      </c>
      <c r="C602" t="s">
        <v>18</v>
      </c>
      <c r="D602" t="s">
        <v>38</v>
      </c>
      <c r="F602" t="s">
        <v>155</v>
      </c>
      <c r="G602" t="s">
        <v>156</v>
      </c>
      <c r="H602" t="s">
        <v>47</v>
      </c>
      <c r="I602" s="49">
        <v>43481</v>
      </c>
      <c r="J602" s="47">
        <v>659318914.79999995</v>
      </c>
      <c r="K602">
        <v>12189080.560000001</v>
      </c>
      <c r="L602">
        <v>659437412.46000004</v>
      </c>
      <c r="N602">
        <v>2.6850000000000001</v>
      </c>
      <c r="O602" t="s">
        <v>42</v>
      </c>
      <c r="P602" t="s">
        <v>37</v>
      </c>
      <c r="Q602" s="49">
        <v>43116</v>
      </c>
      <c r="R602" s="49" t="str">
        <f>DataTable[HLD_Portfolio]&amp;DataTable[HLD_Date]</f>
        <v>SCBFPFUND43381</v>
      </c>
    </row>
    <row r="603" spans="1:18" x14ac:dyDescent="0.2">
      <c r="A603" s="49">
        <v>43381</v>
      </c>
      <c r="B603" t="s">
        <v>383</v>
      </c>
      <c r="C603" t="s">
        <v>18</v>
      </c>
      <c r="D603" t="s">
        <v>38</v>
      </c>
      <c r="F603" t="s">
        <v>157</v>
      </c>
      <c r="G603" t="s">
        <v>40</v>
      </c>
      <c r="H603" t="s">
        <v>41</v>
      </c>
      <c r="I603" s="49">
        <v>43602</v>
      </c>
      <c r="J603" s="47">
        <v>1500000000</v>
      </c>
      <c r="K603">
        <v>9832191.7799999993</v>
      </c>
      <c r="L603">
        <v>1500000000</v>
      </c>
      <c r="M603">
        <v>0.59952899999999998</v>
      </c>
      <c r="N603">
        <v>1.65</v>
      </c>
      <c r="O603" t="s">
        <v>42</v>
      </c>
      <c r="P603" t="s">
        <v>23</v>
      </c>
      <c r="Q603" s="49">
        <v>43237</v>
      </c>
      <c r="R603" s="49" t="str">
        <f>DataTable[HLD_Portfolio]&amp;DataTable[HLD_Date]</f>
        <v>SCBFPFUND43381</v>
      </c>
    </row>
    <row r="604" spans="1:18" x14ac:dyDescent="0.2">
      <c r="A604" s="49">
        <v>43381</v>
      </c>
      <c r="B604" t="s">
        <v>383</v>
      </c>
      <c r="C604" t="s">
        <v>18</v>
      </c>
      <c r="D604" t="s">
        <v>38</v>
      </c>
      <c r="F604" t="s">
        <v>691</v>
      </c>
      <c r="G604" t="s">
        <v>40</v>
      </c>
      <c r="H604" t="s">
        <v>41</v>
      </c>
      <c r="I604" s="49">
        <v>43581</v>
      </c>
      <c r="J604" s="47">
        <v>400000000</v>
      </c>
      <c r="K604">
        <v>2712328.77</v>
      </c>
      <c r="L604">
        <v>400000000</v>
      </c>
      <c r="M604">
        <v>0.54350799999999999</v>
      </c>
      <c r="N604">
        <v>1.5</v>
      </c>
      <c r="O604" t="s">
        <v>42</v>
      </c>
      <c r="P604" t="s">
        <v>23</v>
      </c>
      <c r="Q604" s="49">
        <v>43217</v>
      </c>
      <c r="R604" s="49" t="str">
        <f>DataTable[HLD_Portfolio]&amp;DataTable[HLD_Date]</f>
        <v>SCBFPFUND43381</v>
      </c>
    </row>
    <row r="605" spans="1:18" x14ac:dyDescent="0.2">
      <c r="A605" s="49">
        <v>43381</v>
      </c>
      <c r="B605" t="s">
        <v>383</v>
      </c>
      <c r="C605" t="s">
        <v>18</v>
      </c>
      <c r="D605" t="s">
        <v>38</v>
      </c>
      <c r="F605" t="s">
        <v>160</v>
      </c>
      <c r="G605" t="s">
        <v>159</v>
      </c>
      <c r="H605" t="s">
        <v>47</v>
      </c>
      <c r="I605" s="49">
        <v>43441</v>
      </c>
      <c r="J605" s="47">
        <v>1135833000</v>
      </c>
      <c r="L605">
        <v>1135851615.3499999</v>
      </c>
      <c r="N605">
        <v>-0.01</v>
      </c>
      <c r="O605" t="s">
        <v>42</v>
      </c>
      <c r="P605" t="s">
        <v>31</v>
      </c>
      <c r="Q605" s="49">
        <v>43076</v>
      </c>
      <c r="R605" s="49" t="str">
        <f>DataTable[HLD_Portfolio]&amp;DataTable[HLD_Date]</f>
        <v>SCBFPFUND43381</v>
      </c>
    </row>
    <row r="606" spans="1:18" x14ac:dyDescent="0.2">
      <c r="A606" s="49">
        <v>43381</v>
      </c>
      <c r="B606" t="s">
        <v>383</v>
      </c>
      <c r="C606" t="s">
        <v>18</v>
      </c>
      <c r="D606" t="s">
        <v>38</v>
      </c>
      <c r="F606" t="s">
        <v>692</v>
      </c>
      <c r="G606" t="s">
        <v>159</v>
      </c>
      <c r="H606" t="s">
        <v>47</v>
      </c>
      <c r="I606" s="49">
        <v>43434</v>
      </c>
      <c r="J606" s="47">
        <v>1135833000</v>
      </c>
      <c r="L606">
        <v>1135849406.71</v>
      </c>
      <c r="N606">
        <v>-0.01</v>
      </c>
      <c r="O606" t="s">
        <v>42</v>
      </c>
      <c r="P606" t="s">
        <v>31</v>
      </c>
      <c r="Q606" s="49">
        <v>43070</v>
      </c>
      <c r="R606" s="49" t="str">
        <f>DataTable[HLD_Portfolio]&amp;DataTable[HLD_Date]</f>
        <v>SCBFPFUND43381</v>
      </c>
    </row>
    <row r="607" spans="1:18" x14ac:dyDescent="0.2">
      <c r="A607" s="49">
        <v>43381</v>
      </c>
      <c r="B607" t="s">
        <v>383</v>
      </c>
      <c r="C607" t="s">
        <v>18</v>
      </c>
      <c r="D607" t="s">
        <v>38</v>
      </c>
      <c r="F607" t="s">
        <v>693</v>
      </c>
      <c r="G607" t="s">
        <v>46</v>
      </c>
      <c r="H607" t="s">
        <v>47</v>
      </c>
      <c r="I607" s="49">
        <v>43504</v>
      </c>
      <c r="J607" s="47">
        <v>1893055000</v>
      </c>
      <c r="K607">
        <v>894468.49</v>
      </c>
      <c r="L607">
        <v>1950000000</v>
      </c>
      <c r="M607">
        <v>0.34158500000000003</v>
      </c>
      <c r="N607">
        <v>7.0000000000000007E-2</v>
      </c>
      <c r="O607" t="s">
        <v>42</v>
      </c>
      <c r="P607" t="s">
        <v>31</v>
      </c>
      <c r="Q607" s="49">
        <v>43139</v>
      </c>
      <c r="R607" s="49" t="str">
        <f>DataTable[HLD_Portfolio]&amp;DataTable[HLD_Date]</f>
        <v>SCBFPFUND43381</v>
      </c>
    </row>
    <row r="608" spans="1:18" x14ac:dyDescent="0.2">
      <c r="A608" s="49">
        <v>43381</v>
      </c>
      <c r="B608" t="s">
        <v>383</v>
      </c>
      <c r="C608" t="s">
        <v>18</v>
      </c>
      <c r="D608" t="s">
        <v>38</v>
      </c>
      <c r="F608" t="s">
        <v>694</v>
      </c>
      <c r="G608" t="s">
        <v>46</v>
      </c>
      <c r="H608" t="s">
        <v>47</v>
      </c>
      <c r="I608" s="49">
        <v>43549</v>
      </c>
      <c r="J608" s="47">
        <v>567916500</v>
      </c>
      <c r="K608">
        <v>126834.69</v>
      </c>
      <c r="L608">
        <v>575550000</v>
      </c>
      <c r="M608">
        <v>0.46657999999999999</v>
      </c>
      <c r="N608">
        <v>0.04</v>
      </c>
      <c r="O608" t="s">
        <v>42</v>
      </c>
      <c r="P608" t="s">
        <v>31</v>
      </c>
      <c r="Q608" s="49">
        <v>43181</v>
      </c>
      <c r="R608" s="49" t="str">
        <f>DataTable[HLD_Portfolio]&amp;DataTable[HLD_Date]</f>
        <v>SCBFPFUND43381</v>
      </c>
    </row>
    <row r="609" spans="1:18" x14ac:dyDescent="0.2">
      <c r="A609" s="49">
        <v>43381</v>
      </c>
      <c r="B609" t="s">
        <v>383</v>
      </c>
      <c r="C609" t="s">
        <v>18</v>
      </c>
      <c r="D609" t="s">
        <v>38</v>
      </c>
      <c r="F609" t="s">
        <v>695</v>
      </c>
      <c r="G609" t="s">
        <v>50</v>
      </c>
      <c r="H609" t="s">
        <v>51</v>
      </c>
      <c r="I609" s="49">
        <v>43410</v>
      </c>
      <c r="J609" s="47">
        <v>989790000</v>
      </c>
      <c r="K609">
        <v>22171296</v>
      </c>
      <c r="L609">
        <v>994800000</v>
      </c>
      <c r="M609">
        <v>8.0399999999999999E-2</v>
      </c>
      <c r="N609">
        <v>2.4</v>
      </c>
      <c r="O609" t="s">
        <v>42</v>
      </c>
      <c r="P609" t="s">
        <v>37</v>
      </c>
      <c r="Q609" s="49">
        <v>43046</v>
      </c>
      <c r="R609" s="49" t="str">
        <f>DataTable[HLD_Portfolio]&amp;DataTable[HLD_Date]</f>
        <v>SCBFPFUND43381</v>
      </c>
    </row>
    <row r="610" spans="1:18" x14ac:dyDescent="0.2">
      <c r="A610" s="49">
        <v>43381</v>
      </c>
      <c r="B610" t="s">
        <v>383</v>
      </c>
      <c r="C610" t="s">
        <v>18</v>
      </c>
      <c r="D610" t="s">
        <v>38</v>
      </c>
      <c r="F610" t="s">
        <v>696</v>
      </c>
      <c r="G610" t="s">
        <v>54</v>
      </c>
      <c r="H610" t="s">
        <v>47</v>
      </c>
      <c r="I610" s="49">
        <v>43587</v>
      </c>
      <c r="J610" s="47">
        <v>1135833000</v>
      </c>
      <c r="K610">
        <v>351161.7</v>
      </c>
      <c r="L610">
        <v>1146000000</v>
      </c>
      <c r="M610">
        <v>0.57199299999999997</v>
      </c>
      <c r="N610">
        <v>7.0000000000000007E-2</v>
      </c>
      <c r="O610" t="s">
        <v>42</v>
      </c>
      <c r="P610" t="s">
        <v>31</v>
      </c>
      <c r="Q610" s="49">
        <v>43223</v>
      </c>
      <c r="R610" s="49" t="str">
        <f>DataTable[HLD_Portfolio]&amp;DataTable[HLD_Date]</f>
        <v>SCBFPFUND43381</v>
      </c>
    </row>
    <row r="611" spans="1:18" x14ac:dyDescent="0.2">
      <c r="A611" s="49">
        <v>43381</v>
      </c>
      <c r="B611" t="s">
        <v>383</v>
      </c>
      <c r="C611" t="s">
        <v>18</v>
      </c>
      <c r="D611" t="s">
        <v>38</v>
      </c>
      <c r="F611" t="s">
        <v>176</v>
      </c>
      <c r="G611" t="s">
        <v>54</v>
      </c>
      <c r="H611" t="s">
        <v>47</v>
      </c>
      <c r="I611" s="49">
        <v>43452</v>
      </c>
      <c r="J611" s="47">
        <v>329930000</v>
      </c>
      <c r="K611">
        <v>7225467</v>
      </c>
      <c r="L611">
        <v>327400000</v>
      </c>
      <c r="M611">
        <v>0.19620000000000001</v>
      </c>
      <c r="N611">
        <v>2.7</v>
      </c>
      <c r="O611" t="s">
        <v>42</v>
      </c>
      <c r="P611" t="s">
        <v>37</v>
      </c>
      <c r="Q611" s="49">
        <v>43090</v>
      </c>
      <c r="R611" s="49" t="str">
        <f>DataTable[HLD_Portfolio]&amp;DataTable[HLD_Date]</f>
        <v>SCBFPFUND43381</v>
      </c>
    </row>
    <row r="612" spans="1:18" x14ac:dyDescent="0.2">
      <c r="A612" s="49">
        <v>43381</v>
      </c>
      <c r="B612" t="s">
        <v>383</v>
      </c>
      <c r="C612" t="s">
        <v>18</v>
      </c>
      <c r="D612" t="s">
        <v>38</v>
      </c>
      <c r="F612" t="s">
        <v>697</v>
      </c>
      <c r="G612" t="s">
        <v>54</v>
      </c>
      <c r="H612" t="s">
        <v>47</v>
      </c>
      <c r="I612" s="49">
        <v>43728</v>
      </c>
      <c r="J612" s="47">
        <v>659860000</v>
      </c>
      <c r="K612">
        <v>1149256.17</v>
      </c>
      <c r="L612">
        <v>651600000</v>
      </c>
      <c r="M612">
        <v>0.934222</v>
      </c>
      <c r="N612">
        <v>3.3</v>
      </c>
      <c r="O612" t="s">
        <v>42</v>
      </c>
      <c r="P612" t="s">
        <v>37</v>
      </c>
      <c r="Q612" s="49">
        <v>43363</v>
      </c>
      <c r="R612" s="49" t="str">
        <f>DataTable[HLD_Portfolio]&amp;DataTable[HLD_Date]</f>
        <v>SCBFPFUND43381</v>
      </c>
    </row>
    <row r="613" spans="1:18" x14ac:dyDescent="0.2">
      <c r="A613" s="49">
        <v>43381</v>
      </c>
      <c r="B613" t="s">
        <v>383</v>
      </c>
      <c r="C613" t="s">
        <v>18</v>
      </c>
      <c r="D613" t="s">
        <v>38</v>
      </c>
      <c r="F613" t="s">
        <v>698</v>
      </c>
      <c r="G613" t="s">
        <v>58</v>
      </c>
      <c r="H613" t="s">
        <v>59</v>
      </c>
      <c r="I613" s="49">
        <v>43685</v>
      </c>
      <c r="J613" s="47">
        <v>230000000</v>
      </c>
      <c r="K613">
        <v>664164.38</v>
      </c>
      <c r="L613">
        <v>230000000</v>
      </c>
      <c r="M613">
        <v>0.82128100000000004</v>
      </c>
      <c r="N613">
        <v>1.7</v>
      </c>
      <c r="O613" t="s">
        <v>42</v>
      </c>
      <c r="P613" t="s">
        <v>23</v>
      </c>
      <c r="Q613" s="49">
        <v>43320</v>
      </c>
      <c r="R613" s="49" t="str">
        <f>DataTable[HLD_Portfolio]&amp;DataTable[HLD_Date]</f>
        <v>SCBFPFUND43381</v>
      </c>
    </row>
    <row r="614" spans="1:18" x14ac:dyDescent="0.2">
      <c r="A614" s="49">
        <v>43381</v>
      </c>
      <c r="B614" t="s">
        <v>383</v>
      </c>
      <c r="C614" t="s">
        <v>18</v>
      </c>
      <c r="D614" t="s">
        <v>38</v>
      </c>
      <c r="F614" t="s">
        <v>311</v>
      </c>
      <c r="G614" t="s">
        <v>58</v>
      </c>
      <c r="H614" t="s">
        <v>59</v>
      </c>
      <c r="I614" s="49">
        <v>43564</v>
      </c>
      <c r="J614" s="47">
        <v>1000000000</v>
      </c>
      <c r="K614">
        <v>7520547.9500000002</v>
      </c>
      <c r="L614">
        <v>1000000000</v>
      </c>
      <c r="M614">
        <v>0.49765500000000001</v>
      </c>
      <c r="N614">
        <v>1.5</v>
      </c>
      <c r="O614" t="s">
        <v>42</v>
      </c>
      <c r="P614" t="s">
        <v>23</v>
      </c>
      <c r="Q614" s="49">
        <v>43199</v>
      </c>
      <c r="R614" s="49" t="str">
        <f>DataTable[HLD_Portfolio]&amp;DataTable[HLD_Date]</f>
        <v>SCBFPFUND43381</v>
      </c>
    </row>
    <row r="615" spans="1:18" x14ac:dyDescent="0.2">
      <c r="A615" s="49">
        <v>43381</v>
      </c>
      <c r="B615" t="s">
        <v>383</v>
      </c>
      <c r="C615" t="s">
        <v>18</v>
      </c>
      <c r="D615" t="s">
        <v>38</v>
      </c>
      <c r="F615" t="s">
        <v>699</v>
      </c>
      <c r="G615" t="s">
        <v>58</v>
      </c>
      <c r="H615" t="s">
        <v>59</v>
      </c>
      <c r="I615" s="49">
        <v>43567</v>
      </c>
      <c r="J615" s="47">
        <v>1000000000</v>
      </c>
      <c r="K615">
        <v>7397260.2699999996</v>
      </c>
      <c r="L615">
        <v>1000000000</v>
      </c>
      <c r="M615">
        <v>0.50575099999999995</v>
      </c>
      <c r="N615">
        <v>1.5</v>
      </c>
      <c r="O615" t="s">
        <v>42</v>
      </c>
      <c r="P615" t="s">
        <v>23</v>
      </c>
      <c r="Q615" s="49">
        <v>43202</v>
      </c>
      <c r="R615" s="49" t="str">
        <f>DataTable[HLD_Portfolio]&amp;DataTable[HLD_Date]</f>
        <v>SCBFPFUND43381</v>
      </c>
    </row>
    <row r="616" spans="1:18" x14ac:dyDescent="0.2">
      <c r="A616" s="49">
        <v>43381</v>
      </c>
      <c r="B616" t="s">
        <v>383</v>
      </c>
      <c r="C616" t="s">
        <v>18</v>
      </c>
      <c r="D616" t="s">
        <v>38</v>
      </c>
      <c r="F616" t="s">
        <v>700</v>
      </c>
      <c r="G616" t="s">
        <v>58</v>
      </c>
      <c r="H616" t="s">
        <v>59</v>
      </c>
      <c r="I616" s="49">
        <v>43574</v>
      </c>
      <c r="J616" s="47">
        <v>1000000000</v>
      </c>
      <c r="K616">
        <v>7109589.04</v>
      </c>
      <c r="L616">
        <v>1000000000</v>
      </c>
      <c r="M616">
        <v>0.52463499999999996</v>
      </c>
      <c r="N616">
        <v>1.5</v>
      </c>
      <c r="O616" t="s">
        <v>42</v>
      </c>
      <c r="P616" t="s">
        <v>23</v>
      </c>
      <c r="Q616" s="49">
        <v>43209</v>
      </c>
      <c r="R616" s="49" t="str">
        <f>DataTable[HLD_Portfolio]&amp;DataTable[HLD_Date]</f>
        <v>SCBFPFUND43381</v>
      </c>
    </row>
    <row r="617" spans="1:18" x14ac:dyDescent="0.2">
      <c r="A617" s="49">
        <v>43381</v>
      </c>
      <c r="B617" t="s">
        <v>383</v>
      </c>
      <c r="C617" t="s">
        <v>18</v>
      </c>
      <c r="D617" t="s">
        <v>38</v>
      </c>
      <c r="F617" t="s">
        <v>701</v>
      </c>
      <c r="G617" t="s">
        <v>58</v>
      </c>
      <c r="H617" t="s">
        <v>59</v>
      </c>
      <c r="I617" s="49">
        <v>43488</v>
      </c>
      <c r="J617" s="47">
        <v>280000000</v>
      </c>
      <c r="K617">
        <v>3178958.9</v>
      </c>
      <c r="L617">
        <v>280000000</v>
      </c>
      <c r="M617">
        <v>0.29178199999999999</v>
      </c>
      <c r="N617">
        <v>1.6</v>
      </c>
      <c r="O617" t="s">
        <v>42</v>
      </c>
      <c r="P617" t="s">
        <v>23</v>
      </c>
      <c r="Q617" s="49">
        <v>43123</v>
      </c>
      <c r="R617" s="49" t="str">
        <f>DataTable[HLD_Portfolio]&amp;DataTable[HLD_Date]</f>
        <v>SCBFPFUND43381</v>
      </c>
    </row>
    <row r="618" spans="1:18" x14ac:dyDescent="0.2">
      <c r="A618" s="49">
        <v>43381</v>
      </c>
      <c r="B618" t="s">
        <v>383</v>
      </c>
      <c r="C618" t="s">
        <v>18</v>
      </c>
      <c r="D618" t="s">
        <v>38</v>
      </c>
      <c r="F618" t="s">
        <v>593</v>
      </c>
      <c r="G618" t="s">
        <v>58</v>
      </c>
      <c r="H618" t="s">
        <v>59</v>
      </c>
      <c r="I618" s="49">
        <v>43434</v>
      </c>
      <c r="J618" s="47">
        <v>90000000</v>
      </c>
      <c r="K618">
        <v>1230904.1100000001</v>
      </c>
      <c r="L618">
        <v>90000000</v>
      </c>
      <c r="M618">
        <v>0.144869</v>
      </c>
      <c r="N618">
        <v>1.6</v>
      </c>
      <c r="O618" t="s">
        <v>42</v>
      </c>
      <c r="P618" t="s">
        <v>23</v>
      </c>
      <c r="Q618" s="49">
        <v>43070</v>
      </c>
      <c r="R618" s="49" t="str">
        <f>DataTable[HLD_Portfolio]&amp;DataTable[HLD_Date]</f>
        <v>SCBFPFUND43381</v>
      </c>
    </row>
    <row r="619" spans="1:18" x14ac:dyDescent="0.2">
      <c r="A619" s="49">
        <v>43381</v>
      </c>
      <c r="B619" t="s">
        <v>383</v>
      </c>
      <c r="C619" t="s">
        <v>18</v>
      </c>
      <c r="D619" t="s">
        <v>38</v>
      </c>
      <c r="F619" t="s">
        <v>702</v>
      </c>
      <c r="G619" t="s">
        <v>182</v>
      </c>
      <c r="H619" t="s">
        <v>51</v>
      </c>
      <c r="I619" s="49">
        <v>43740</v>
      </c>
      <c r="J619" s="47">
        <v>329930000</v>
      </c>
      <c r="K619">
        <v>436240.78</v>
      </c>
      <c r="L619">
        <v>324100000</v>
      </c>
      <c r="M619">
        <v>0.96455800000000003</v>
      </c>
      <c r="N619">
        <v>3.4</v>
      </c>
      <c r="O619" t="s">
        <v>42</v>
      </c>
      <c r="P619" t="s">
        <v>37</v>
      </c>
      <c r="Q619" s="49">
        <v>43368</v>
      </c>
      <c r="R619" s="49" t="str">
        <f>DataTable[HLD_Portfolio]&amp;DataTable[HLD_Date]</f>
        <v>SCBFPFUND43381</v>
      </c>
    </row>
    <row r="620" spans="1:18" x14ac:dyDescent="0.2">
      <c r="A620" s="49">
        <v>43381</v>
      </c>
      <c r="B620" t="s">
        <v>383</v>
      </c>
      <c r="C620" t="s">
        <v>18</v>
      </c>
      <c r="D620" t="s">
        <v>38</v>
      </c>
      <c r="F620" t="s">
        <v>703</v>
      </c>
      <c r="G620" t="s">
        <v>50</v>
      </c>
      <c r="H620" t="s">
        <v>51</v>
      </c>
      <c r="I620" s="49">
        <v>43397</v>
      </c>
      <c r="J620" s="47">
        <v>1154755000</v>
      </c>
      <c r="K620">
        <v>16166570</v>
      </c>
      <c r="L620">
        <v>1100750000</v>
      </c>
      <c r="M620">
        <v>4.4386000000000002E-2</v>
      </c>
      <c r="N620">
        <v>3</v>
      </c>
      <c r="O620" t="s">
        <v>42</v>
      </c>
      <c r="P620" t="s">
        <v>37</v>
      </c>
      <c r="Q620" s="49">
        <v>43214</v>
      </c>
      <c r="R620" s="49" t="str">
        <f>DataTable[HLD_Portfolio]&amp;DataTable[HLD_Date]</f>
        <v>SCBFPFUND43381</v>
      </c>
    </row>
    <row r="621" spans="1:18" x14ac:dyDescent="0.2">
      <c r="A621" s="49">
        <v>43381</v>
      </c>
      <c r="B621" t="s">
        <v>383</v>
      </c>
      <c r="C621" t="s">
        <v>18</v>
      </c>
      <c r="D621" t="s">
        <v>38</v>
      </c>
      <c r="F621" t="s">
        <v>704</v>
      </c>
      <c r="G621" t="s">
        <v>75</v>
      </c>
      <c r="H621" t="s">
        <v>59</v>
      </c>
      <c r="I621" s="49">
        <v>44196</v>
      </c>
      <c r="J621" s="47">
        <v>47640424.210000001</v>
      </c>
      <c r="K621">
        <v>185300.99</v>
      </c>
      <c r="L621">
        <v>47640424.210000001</v>
      </c>
      <c r="M621">
        <v>0</v>
      </c>
      <c r="N621">
        <v>0</v>
      </c>
      <c r="O621" t="s">
        <v>42</v>
      </c>
      <c r="P621" t="s">
        <v>23</v>
      </c>
      <c r="Q621" s="49">
        <v>40536</v>
      </c>
      <c r="R621" s="49" t="str">
        <f>DataTable[HLD_Portfolio]&amp;DataTable[HLD_Date]</f>
        <v>SCBFPFUND43381</v>
      </c>
    </row>
    <row r="622" spans="1:18" x14ac:dyDescent="0.2">
      <c r="A622" s="49">
        <v>43381</v>
      </c>
      <c r="B622" t="s">
        <v>383</v>
      </c>
      <c r="C622" t="s">
        <v>18</v>
      </c>
      <c r="D622" t="s">
        <v>77</v>
      </c>
      <c r="F622" t="s">
        <v>596</v>
      </c>
      <c r="G622" t="s">
        <v>247</v>
      </c>
      <c r="H622" t="s">
        <v>29</v>
      </c>
      <c r="I622" s="49">
        <v>43550</v>
      </c>
      <c r="J622" s="47">
        <v>989018530</v>
      </c>
      <c r="L622">
        <v>989605720</v>
      </c>
      <c r="M622">
        <v>0.45521899999999998</v>
      </c>
      <c r="N622">
        <v>2.282</v>
      </c>
      <c r="O622" t="s">
        <v>42</v>
      </c>
      <c r="P622" t="s">
        <v>23</v>
      </c>
      <c r="Q622" s="49">
        <v>43280</v>
      </c>
      <c r="R622" s="49" t="str">
        <f>DataTable[HLD_Portfolio]&amp;DataTable[HLD_Date]</f>
        <v>SCBFPFUND43381</v>
      </c>
    </row>
    <row r="623" spans="1:18" x14ac:dyDescent="0.2">
      <c r="A623" s="49">
        <v>43381</v>
      </c>
      <c r="B623" t="s">
        <v>383</v>
      </c>
      <c r="C623" t="s">
        <v>18</v>
      </c>
      <c r="D623" t="s">
        <v>89</v>
      </c>
      <c r="F623" t="s">
        <v>211</v>
      </c>
      <c r="G623" t="s">
        <v>91</v>
      </c>
      <c r="I623" s="49">
        <v>43461</v>
      </c>
      <c r="J623" s="47">
        <v>1219357967.1500001</v>
      </c>
      <c r="L623">
        <v>1219360217.47</v>
      </c>
      <c r="M623">
        <v>0.21576100000000001</v>
      </c>
      <c r="N623">
        <v>1.379141</v>
      </c>
      <c r="O623" t="s">
        <v>42</v>
      </c>
      <c r="P623" t="s">
        <v>23</v>
      </c>
      <c r="Q623" s="49">
        <v>43370</v>
      </c>
      <c r="R623" s="49" t="str">
        <f>DataTable[HLD_Portfolio]&amp;DataTable[HLD_Date]</f>
        <v>SCBFPFUND43381</v>
      </c>
    </row>
    <row r="624" spans="1:18" x14ac:dyDescent="0.2">
      <c r="A624" s="49">
        <v>43381</v>
      </c>
      <c r="B624" t="s">
        <v>383</v>
      </c>
      <c r="C624" t="s">
        <v>18</v>
      </c>
      <c r="D624" t="s">
        <v>89</v>
      </c>
      <c r="F624" t="s">
        <v>99</v>
      </c>
      <c r="G624" t="s">
        <v>91</v>
      </c>
      <c r="I624" s="49">
        <v>43426</v>
      </c>
      <c r="J624" s="47">
        <v>70894881.659999996</v>
      </c>
      <c r="L624">
        <v>70894881.659999996</v>
      </c>
      <c r="M624">
        <v>0.120375</v>
      </c>
      <c r="N624">
        <v>1.23</v>
      </c>
      <c r="O624" t="s">
        <v>42</v>
      </c>
      <c r="P624" t="s">
        <v>23</v>
      </c>
      <c r="Q624" s="49">
        <v>43244</v>
      </c>
      <c r="R624" s="49" t="str">
        <f>DataTable[HLD_Portfolio]&amp;DataTable[HLD_Date]</f>
        <v>SCBFPFUND43381</v>
      </c>
    </row>
    <row r="625" spans="1:18" x14ac:dyDescent="0.2">
      <c r="A625" s="49">
        <v>43381</v>
      </c>
      <c r="B625" t="s">
        <v>383</v>
      </c>
      <c r="C625" t="s">
        <v>18</v>
      </c>
      <c r="D625" t="s">
        <v>89</v>
      </c>
      <c r="F625" t="s">
        <v>107</v>
      </c>
      <c r="G625" t="s">
        <v>91</v>
      </c>
      <c r="I625" s="49">
        <v>43391</v>
      </c>
      <c r="J625" s="47">
        <v>38988847.950000003</v>
      </c>
      <c r="L625">
        <v>38988847.950000003</v>
      </c>
      <c r="M625">
        <v>2.4650999999999999E-2</v>
      </c>
      <c r="N625">
        <v>1.1599999999999999</v>
      </c>
      <c r="O625" t="s">
        <v>42</v>
      </c>
      <c r="P625" t="s">
        <v>23</v>
      </c>
      <c r="Q625" s="49">
        <v>43209</v>
      </c>
      <c r="R625" s="49" t="str">
        <f>DataTable[HLD_Portfolio]&amp;DataTable[HLD_Date]</f>
        <v>SCBFPFUND43381</v>
      </c>
    </row>
    <row r="626" spans="1:18" x14ac:dyDescent="0.2">
      <c r="A626" s="49">
        <v>43381</v>
      </c>
      <c r="B626" t="s">
        <v>383</v>
      </c>
      <c r="C626" t="s">
        <v>18</v>
      </c>
      <c r="D626" t="s">
        <v>89</v>
      </c>
      <c r="F626" t="s">
        <v>213</v>
      </c>
      <c r="G626" t="s">
        <v>91</v>
      </c>
      <c r="I626" s="49">
        <v>43468</v>
      </c>
      <c r="J626" s="47">
        <v>32891503.260000002</v>
      </c>
      <c r="L626">
        <v>32889186</v>
      </c>
      <c r="M626">
        <v>0.234787</v>
      </c>
      <c r="N626">
        <v>1.43</v>
      </c>
      <c r="O626" t="s">
        <v>42</v>
      </c>
      <c r="P626" t="s">
        <v>23</v>
      </c>
      <c r="Q626" s="49">
        <v>43286</v>
      </c>
      <c r="R626" s="49" t="str">
        <f>DataTable[HLD_Portfolio]&amp;DataTable[HLD_Date]</f>
        <v>SCBFPFUND43381</v>
      </c>
    </row>
    <row r="627" spans="1:18" x14ac:dyDescent="0.2">
      <c r="A627" s="49">
        <v>43381</v>
      </c>
      <c r="B627" t="s">
        <v>383</v>
      </c>
      <c r="C627" t="s">
        <v>18</v>
      </c>
      <c r="D627" t="s">
        <v>89</v>
      </c>
      <c r="F627" t="s">
        <v>653</v>
      </c>
      <c r="G627" t="s">
        <v>91</v>
      </c>
      <c r="I627" s="49">
        <v>43510</v>
      </c>
      <c r="J627" s="47">
        <v>118371108.8</v>
      </c>
      <c r="L627">
        <v>118386282.48999999</v>
      </c>
      <c r="M627">
        <v>0.34883199999999998</v>
      </c>
      <c r="N627">
        <v>1.4782569999999999</v>
      </c>
      <c r="O627" t="s">
        <v>42</v>
      </c>
      <c r="P627" t="s">
        <v>23</v>
      </c>
      <c r="Q627" s="49">
        <v>43328</v>
      </c>
      <c r="R627" s="49" t="str">
        <f>DataTable[HLD_Portfolio]&amp;DataTable[HLD_Date]</f>
        <v>SCBFPFUND43381</v>
      </c>
    </row>
    <row r="628" spans="1:18" x14ac:dyDescent="0.2">
      <c r="A628" s="49">
        <v>43381</v>
      </c>
      <c r="B628" t="s">
        <v>383</v>
      </c>
      <c r="C628" t="s">
        <v>18</v>
      </c>
      <c r="D628" t="s">
        <v>89</v>
      </c>
      <c r="F628" t="s">
        <v>654</v>
      </c>
      <c r="G628" t="s">
        <v>91</v>
      </c>
      <c r="I628" s="49">
        <v>43524</v>
      </c>
      <c r="J628" s="47">
        <v>819108464.08000004</v>
      </c>
      <c r="L628">
        <v>819312247.51999998</v>
      </c>
      <c r="M628">
        <v>0.38673200000000002</v>
      </c>
      <c r="N628">
        <v>1.4706859999999999</v>
      </c>
      <c r="O628" t="s">
        <v>42</v>
      </c>
      <c r="P628" t="s">
        <v>23</v>
      </c>
      <c r="Q628" s="49">
        <v>43342</v>
      </c>
      <c r="R628" s="49" t="str">
        <f>DataTable[HLD_Portfolio]&amp;DataTable[HLD_Date]</f>
        <v>SCBFPFUND43381</v>
      </c>
    </row>
    <row r="629" spans="1:18" x14ac:dyDescent="0.2">
      <c r="A629" s="49">
        <v>43381</v>
      </c>
      <c r="B629" t="s">
        <v>383</v>
      </c>
      <c r="C629" t="s">
        <v>18</v>
      </c>
      <c r="D629" t="s">
        <v>89</v>
      </c>
      <c r="F629" t="s">
        <v>655</v>
      </c>
      <c r="G629" t="s">
        <v>91</v>
      </c>
      <c r="I629" s="49">
        <v>43531</v>
      </c>
      <c r="J629" s="47">
        <v>46711768.740000002</v>
      </c>
      <c r="L629">
        <v>46702587.759999998</v>
      </c>
      <c r="M629">
        <v>0.40571600000000002</v>
      </c>
      <c r="N629">
        <v>1.56</v>
      </c>
      <c r="O629" t="s">
        <v>42</v>
      </c>
      <c r="P629" t="s">
        <v>23</v>
      </c>
      <c r="Q629" s="49">
        <v>43349</v>
      </c>
      <c r="R629" s="49" t="str">
        <f>DataTable[HLD_Portfolio]&amp;DataTable[HLD_Date]</f>
        <v>SCBFPFUND43381</v>
      </c>
    </row>
    <row r="630" spans="1:18" x14ac:dyDescent="0.2">
      <c r="A630" s="49">
        <v>43381</v>
      </c>
      <c r="B630" t="s">
        <v>383</v>
      </c>
      <c r="C630" t="s">
        <v>18</v>
      </c>
      <c r="D630" t="s">
        <v>89</v>
      </c>
      <c r="F630" t="s">
        <v>656</v>
      </c>
      <c r="G630" t="s">
        <v>91</v>
      </c>
      <c r="I630" s="49">
        <v>43545</v>
      </c>
      <c r="J630" s="47">
        <v>386328892.60000002</v>
      </c>
      <c r="L630">
        <v>386275611.26999998</v>
      </c>
      <c r="M630">
        <v>0.44350899999999999</v>
      </c>
      <c r="N630">
        <v>1.5793440000000001</v>
      </c>
      <c r="O630" t="s">
        <v>42</v>
      </c>
      <c r="P630" t="s">
        <v>23</v>
      </c>
      <c r="Q630" s="49">
        <v>43363</v>
      </c>
      <c r="R630" s="49" t="str">
        <f>DataTable[HLD_Portfolio]&amp;DataTable[HLD_Date]</f>
        <v>SCBFPFUND43381</v>
      </c>
    </row>
    <row r="631" spans="1:18" x14ac:dyDescent="0.2">
      <c r="A631" s="49">
        <v>43381</v>
      </c>
      <c r="B631" t="s">
        <v>383</v>
      </c>
      <c r="C631" t="s">
        <v>18</v>
      </c>
      <c r="D631" t="s">
        <v>89</v>
      </c>
      <c r="F631" t="s">
        <v>657</v>
      </c>
      <c r="G631" t="s">
        <v>91</v>
      </c>
      <c r="I631" s="49">
        <v>43552</v>
      </c>
      <c r="J631" s="47">
        <v>137994154.30000001</v>
      </c>
      <c r="L631">
        <v>137990964.25</v>
      </c>
      <c r="M631">
        <v>0.46238299999999999</v>
      </c>
      <c r="N631">
        <v>1.57</v>
      </c>
      <c r="O631" t="s">
        <v>42</v>
      </c>
      <c r="P631" t="s">
        <v>23</v>
      </c>
      <c r="Q631" s="49">
        <v>43370</v>
      </c>
      <c r="R631" s="49" t="str">
        <f>DataTable[HLD_Portfolio]&amp;DataTable[HLD_Date]</f>
        <v>SCBFPFUND43381</v>
      </c>
    </row>
    <row r="632" spans="1:18" x14ac:dyDescent="0.2">
      <c r="A632" s="49">
        <v>43381</v>
      </c>
      <c r="B632" t="s">
        <v>383</v>
      </c>
      <c r="C632" t="s">
        <v>18</v>
      </c>
      <c r="D632" t="s">
        <v>89</v>
      </c>
      <c r="F632" t="s">
        <v>658</v>
      </c>
      <c r="G632" t="s">
        <v>91</v>
      </c>
      <c r="I632" s="49">
        <v>43559</v>
      </c>
      <c r="J632" s="47">
        <v>963385039.30999994</v>
      </c>
      <c r="L632">
        <v>963535699.66999996</v>
      </c>
      <c r="M632">
        <v>0.481128</v>
      </c>
      <c r="N632">
        <v>1.5974999999999999</v>
      </c>
      <c r="O632" t="s">
        <v>42</v>
      </c>
      <c r="P632" t="s">
        <v>23</v>
      </c>
      <c r="Q632" s="49">
        <v>43377</v>
      </c>
      <c r="R632" s="49" t="str">
        <f>DataTable[HLD_Portfolio]&amp;DataTable[HLD_Date]</f>
        <v>SCBFPFUND43381</v>
      </c>
    </row>
    <row r="633" spans="1:18" x14ac:dyDescent="0.2">
      <c r="A633" s="49">
        <v>43381</v>
      </c>
      <c r="B633" t="s">
        <v>383</v>
      </c>
      <c r="C633" t="s">
        <v>18</v>
      </c>
      <c r="D633" t="s">
        <v>89</v>
      </c>
      <c r="F633" t="s">
        <v>660</v>
      </c>
      <c r="G633" t="s">
        <v>91</v>
      </c>
      <c r="I633" s="49">
        <v>43713</v>
      </c>
      <c r="J633" s="47">
        <v>612201173.72000003</v>
      </c>
      <c r="L633">
        <v>612363876.48000002</v>
      </c>
      <c r="M633">
        <v>0.892563</v>
      </c>
      <c r="N633">
        <v>1.735233</v>
      </c>
      <c r="O633" t="s">
        <v>42</v>
      </c>
      <c r="P633" t="s">
        <v>23</v>
      </c>
      <c r="Q633" s="49">
        <v>43349</v>
      </c>
      <c r="R633" s="49" t="str">
        <f>DataTable[HLD_Portfolio]&amp;DataTable[HLD_Date]</f>
        <v>SCBFPFUND43381</v>
      </c>
    </row>
    <row r="634" spans="1:18" x14ac:dyDescent="0.2">
      <c r="A634" s="49">
        <v>43381</v>
      </c>
      <c r="B634" t="s">
        <v>383</v>
      </c>
      <c r="C634" t="s">
        <v>18</v>
      </c>
      <c r="D634" t="s">
        <v>115</v>
      </c>
      <c r="F634" t="s">
        <v>661</v>
      </c>
      <c r="G634" t="s">
        <v>91</v>
      </c>
      <c r="I634" s="49">
        <v>43545</v>
      </c>
      <c r="J634" s="47">
        <v>743648043.36000001</v>
      </c>
      <c r="K634">
        <v>550359.12</v>
      </c>
      <c r="L634">
        <v>744363845.75999999</v>
      </c>
      <c r="M634">
        <v>0.44298700000000002</v>
      </c>
      <c r="N634">
        <v>1.403095</v>
      </c>
      <c r="O634" t="s">
        <v>42</v>
      </c>
      <c r="P634" t="s">
        <v>23</v>
      </c>
      <c r="Q634" s="49">
        <v>42450</v>
      </c>
      <c r="R634" s="49" t="str">
        <f>DataTable[HLD_Portfolio]&amp;DataTable[HLD_Date]</f>
        <v>SCBFPFUND43381</v>
      </c>
    </row>
    <row r="635" spans="1:18" x14ac:dyDescent="0.2">
      <c r="A635" s="49">
        <v>43381</v>
      </c>
      <c r="B635" t="s">
        <v>383</v>
      </c>
      <c r="C635" t="s">
        <v>18</v>
      </c>
      <c r="D635" t="s">
        <v>115</v>
      </c>
      <c r="F635" t="s">
        <v>705</v>
      </c>
      <c r="G635" t="s">
        <v>91</v>
      </c>
      <c r="I635" s="49">
        <v>43887</v>
      </c>
      <c r="J635" s="47">
        <v>196507705.68000001</v>
      </c>
      <c r="K635">
        <v>319837.32</v>
      </c>
      <c r="L635">
        <v>197587094.75999999</v>
      </c>
      <c r="M635">
        <v>1.360697</v>
      </c>
      <c r="N635">
        <v>1.4884820000000001</v>
      </c>
      <c r="O635" t="s">
        <v>42</v>
      </c>
      <c r="P635" t="s">
        <v>23</v>
      </c>
      <c r="Q635" s="49">
        <v>43157</v>
      </c>
      <c r="R635" s="49" t="str">
        <f>DataTable[HLD_Portfolio]&amp;DataTable[HLD_Date]</f>
        <v>SCBFPFUND43381</v>
      </c>
    </row>
    <row r="636" spans="1:18" x14ac:dyDescent="0.2">
      <c r="A636" s="49">
        <v>43381</v>
      </c>
      <c r="B636" t="s">
        <v>383</v>
      </c>
      <c r="C636" t="s">
        <v>18</v>
      </c>
      <c r="D636" t="s">
        <v>115</v>
      </c>
      <c r="F636" t="s">
        <v>662</v>
      </c>
      <c r="G636" t="s">
        <v>91</v>
      </c>
      <c r="I636" s="49">
        <v>43917</v>
      </c>
      <c r="J636" s="47">
        <v>896225183.82000005</v>
      </c>
      <c r="K636">
        <v>522564.16</v>
      </c>
      <c r="L636">
        <v>898702236</v>
      </c>
      <c r="M636">
        <v>1.436145</v>
      </c>
      <c r="N636">
        <v>1.7205189999999999</v>
      </c>
      <c r="O636" t="s">
        <v>42</v>
      </c>
      <c r="P636" t="s">
        <v>23</v>
      </c>
      <c r="Q636" s="49">
        <v>42821</v>
      </c>
      <c r="R636" s="49" t="str">
        <f>DataTable[HLD_Portfolio]&amp;DataTable[HLD_Date]</f>
        <v>SCBFPFUND43381</v>
      </c>
    </row>
    <row r="637" spans="1:18" x14ac:dyDescent="0.2">
      <c r="A637" s="49">
        <v>43381</v>
      </c>
      <c r="B637" t="s">
        <v>383</v>
      </c>
      <c r="C637" t="s">
        <v>18</v>
      </c>
      <c r="D637" t="s">
        <v>115</v>
      </c>
      <c r="F637" t="s">
        <v>663</v>
      </c>
      <c r="G637" t="s">
        <v>87</v>
      </c>
      <c r="H637" t="s">
        <v>29</v>
      </c>
      <c r="I637" s="49">
        <v>44391</v>
      </c>
      <c r="J637" s="47">
        <v>555810229.62</v>
      </c>
      <c r="K637">
        <v>1590500.07</v>
      </c>
      <c r="L637">
        <v>556084263.96000004</v>
      </c>
      <c r="M637">
        <v>2.7049319999999999</v>
      </c>
      <c r="N637">
        <v>1.1968300000000001</v>
      </c>
      <c r="O637" t="s">
        <v>42</v>
      </c>
      <c r="P637" t="s">
        <v>23</v>
      </c>
      <c r="Q637" s="49">
        <v>40738</v>
      </c>
      <c r="R637" s="49" t="str">
        <f>DataTable[HLD_Portfolio]&amp;DataTable[HLD_Date]</f>
        <v>SCBFPFUND43381</v>
      </c>
    </row>
    <row r="638" spans="1:18" x14ac:dyDescent="0.2">
      <c r="A638" s="49">
        <v>43381</v>
      </c>
      <c r="B638" t="s">
        <v>383</v>
      </c>
      <c r="C638" t="s">
        <v>18</v>
      </c>
      <c r="D638" t="s">
        <v>115</v>
      </c>
      <c r="F638" t="s">
        <v>706</v>
      </c>
      <c r="G638" t="s">
        <v>87</v>
      </c>
      <c r="H638" t="s">
        <v>29</v>
      </c>
      <c r="I638" s="49">
        <v>43477</v>
      </c>
      <c r="J638" s="47">
        <v>786361788.39999998</v>
      </c>
      <c r="K638">
        <v>10670853.5</v>
      </c>
      <c r="L638">
        <v>786287932.86000001</v>
      </c>
      <c r="M638">
        <v>0.258496</v>
      </c>
      <c r="N638">
        <v>1.4112880000000001</v>
      </c>
      <c r="O638" t="s">
        <v>42</v>
      </c>
      <c r="P638" t="s">
        <v>23</v>
      </c>
      <c r="Q638" s="49">
        <v>39094</v>
      </c>
      <c r="R638" s="49" t="str">
        <f>DataTable[HLD_Portfolio]&amp;DataTable[HLD_Date]</f>
        <v>SCBFPFUND43381</v>
      </c>
    </row>
    <row r="639" spans="1:18" x14ac:dyDescent="0.2">
      <c r="A639" s="49">
        <v>43381</v>
      </c>
      <c r="B639" t="s">
        <v>383</v>
      </c>
      <c r="C639" t="s">
        <v>18</v>
      </c>
      <c r="D639" t="s">
        <v>115</v>
      </c>
      <c r="F639" t="s">
        <v>707</v>
      </c>
      <c r="G639" t="s">
        <v>87</v>
      </c>
      <c r="H639" t="s">
        <v>29</v>
      </c>
      <c r="I639" s="49">
        <v>43532</v>
      </c>
      <c r="J639" s="47">
        <v>160531793.03</v>
      </c>
      <c r="K639">
        <v>466654.1</v>
      </c>
      <c r="L639">
        <v>160557800.18000001</v>
      </c>
      <c r="M639">
        <v>0.40784799999999999</v>
      </c>
      <c r="N639">
        <v>1.486116</v>
      </c>
      <c r="O639" t="s">
        <v>42</v>
      </c>
      <c r="P639" t="s">
        <v>23</v>
      </c>
      <c r="Q639" s="49">
        <v>40851</v>
      </c>
      <c r="R639" s="49" t="str">
        <f>DataTable[HLD_Portfolio]&amp;DataTable[HLD_Date]</f>
        <v>SCBFPFUND43381</v>
      </c>
    </row>
    <row r="640" spans="1:18" x14ac:dyDescent="0.2">
      <c r="A640" s="49">
        <v>43381</v>
      </c>
      <c r="B640" t="s">
        <v>383</v>
      </c>
      <c r="C640" t="s">
        <v>18</v>
      </c>
      <c r="D640" t="s">
        <v>115</v>
      </c>
      <c r="F640" t="s">
        <v>601</v>
      </c>
      <c r="G640" t="s">
        <v>87</v>
      </c>
      <c r="H640" t="s">
        <v>29</v>
      </c>
      <c r="I640" s="49">
        <v>44008</v>
      </c>
      <c r="J640" s="47">
        <v>3547939020.3400002</v>
      </c>
      <c r="K640">
        <v>25755361.82</v>
      </c>
      <c r="L640">
        <v>3561123036</v>
      </c>
      <c r="M640">
        <v>1.660568</v>
      </c>
      <c r="N640">
        <v>1.6983729999999999</v>
      </c>
      <c r="O640" t="s">
        <v>42</v>
      </c>
      <c r="P640" t="s">
        <v>23</v>
      </c>
      <c r="Q640" s="49">
        <v>42181</v>
      </c>
      <c r="R640" s="49" t="str">
        <f>DataTable[HLD_Portfolio]&amp;DataTable[HLD_Date]</f>
        <v>SCBFPFUND43381</v>
      </c>
    </row>
    <row r="641" spans="1:18" x14ac:dyDescent="0.2">
      <c r="A641" s="49">
        <v>43381</v>
      </c>
      <c r="B641" t="s">
        <v>383</v>
      </c>
      <c r="C641" t="s">
        <v>18</v>
      </c>
      <c r="D641" t="s">
        <v>115</v>
      </c>
      <c r="F641" t="s">
        <v>708</v>
      </c>
      <c r="G641" t="s">
        <v>87</v>
      </c>
      <c r="H641" t="s">
        <v>29</v>
      </c>
      <c r="I641" s="49">
        <v>44547</v>
      </c>
      <c r="J641" s="47">
        <v>610139530.33000004</v>
      </c>
      <c r="K641">
        <v>6646200</v>
      </c>
      <c r="L641">
        <v>618796229.14999998</v>
      </c>
      <c r="M641">
        <v>2.980035</v>
      </c>
      <c r="N641">
        <v>1.662968</v>
      </c>
      <c r="O641" t="s">
        <v>42</v>
      </c>
      <c r="P641" t="s">
        <v>23</v>
      </c>
      <c r="Q641" s="49">
        <v>40501</v>
      </c>
      <c r="R641" s="49" t="str">
        <f>DataTable[HLD_Portfolio]&amp;DataTable[HLD_Date]</f>
        <v>SCBFPFUND43381</v>
      </c>
    </row>
    <row r="642" spans="1:18" x14ac:dyDescent="0.2">
      <c r="A642" s="49">
        <v>43381</v>
      </c>
      <c r="B642" t="s">
        <v>383</v>
      </c>
      <c r="C642" t="s">
        <v>18</v>
      </c>
      <c r="D642" t="s">
        <v>115</v>
      </c>
      <c r="F642" t="s">
        <v>664</v>
      </c>
      <c r="G642" t="s">
        <v>87</v>
      </c>
      <c r="H642" t="s">
        <v>29</v>
      </c>
      <c r="I642" s="49">
        <v>44729</v>
      </c>
      <c r="J642" s="47">
        <v>1669896507.5999999</v>
      </c>
      <c r="K642">
        <v>9926191.1999999993</v>
      </c>
      <c r="L642">
        <v>1688414721.5999999</v>
      </c>
      <c r="M642">
        <v>3.5197379999999998</v>
      </c>
      <c r="N642">
        <v>1.9837039999999999</v>
      </c>
      <c r="O642" t="s">
        <v>42</v>
      </c>
      <c r="P642" t="s">
        <v>23</v>
      </c>
      <c r="Q642" s="49">
        <v>42566</v>
      </c>
      <c r="R642" s="49" t="str">
        <f>DataTable[HLD_Portfolio]&amp;DataTable[HLD_Date]</f>
        <v>SCBFPFUND43381</v>
      </c>
    </row>
    <row r="643" spans="1:18" x14ac:dyDescent="0.2">
      <c r="A643" s="49">
        <v>43381</v>
      </c>
      <c r="B643" t="s">
        <v>383</v>
      </c>
      <c r="C643" t="s">
        <v>18</v>
      </c>
      <c r="D643" t="s">
        <v>115</v>
      </c>
      <c r="F643" t="s">
        <v>665</v>
      </c>
      <c r="G643" t="s">
        <v>87</v>
      </c>
      <c r="H643" t="s">
        <v>29</v>
      </c>
      <c r="I643" s="49">
        <v>44912</v>
      </c>
      <c r="J643" s="47">
        <v>233606093.63999999</v>
      </c>
      <c r="K643">
        <v>1480439.46</v>
      </c>
      <c r="L643">
        <v>238212774.03</v>
      </c>
      <c r="M643">
        <v>3.9664069999999998</v>
      </c>
      <c r="N643">
        <v>1.8714660000000001</v>
      </c>
      <c r="O643" t="s">
        <v>42</v>
      </c>
      <c r="P643" t="s">
        <v>23</v>
      </c>
      <c r="Q643" s="49">
        <v>42951</v>
      </c>
      <c r="R643" s="49" t="str">
        <f>DataTable[HLD_Portfolio]&amp;DataTable[HLD_Date]</f>
        <v>SCBFPFUND43381</v>
      </c>
    </row>
    <row r="644" spans="1:18" x14ac:dyDescent="0.2">
      <c r="A644" s="49">
        <v>43381</v>
      </c>
      <c r="B644" t="s">
        <v>383</v>
      </c>
      <c r="C644" t="s">
        <v>18</v>
      </c>
      <c r="D644" t="s">
        <v>115</v>
      </c>
      <c r="F644" t="s">
        <v>666</v>
      </c>
      <c r="G644" t="s">
        <v>87</v>
      </c>
      <c r="H644" t="s">
        <v>29</v>
      </c>
      <c r="I644" s="49">
        <v>45277</v>
      </c>
      <c r="J644" s="47">
        <v>205401551.46000001</v>
      </c>
      <c r="K644">
        <v>717895.58</v>
      </c>
      <c r="L644">
        <v>206599818.44</v>
      </c>
      <c r="M644">
        <v>4.8327780000000002</v>
      </c>
      <c r="N644">
        <v>2.3401049999999999</v>
      </c>
      <c r="O644" t="s">
        <v>42</v>
      </c>
      <c r="P644" t="s">
        <v>23</v>
      </c>
      <c r="Q644" s="49">
        <v>43329</v>
      </c>
      <c r="R644" s="49" t="str">
        <f>DataTable[HLD_Portfolio]&amp;DataTable[HLD_Date]</f>
        <v>SCBFPFUND43381</v>
      </c>
    </row>
    <row r="645" spans="1:18" x14ac:dyDescent="0.2">
      <c r="A645" s="49">
        <v>43381</v>
      </c>
      <c r="B645" t="s">
        <v>383</v>
      </c>
      <c r="C645" t="s">
        <v>18</v>
      </c>
      <c r="D645" t="s">
        <v>115</v>
      </c>
      <c r="F645" t="s">
        <v>709</v>
      </c>
      <c r="G645" t="s">
        <v>710</v>
      </c>
      <c r="I645" s="49">
        <v>44831</v>
      </c>
      <c r="J645" s="47">
        <v>96901148</v>
      </c>
      <c r="K645">
        <v>60164</v>
      </c>
      <c r="L645">
        <v>100000000</v>
      </c>
      <c r="M645">
        <v>3.7855120000000002</v>
      </c>
      <c r="N645">
        <v>1.83</v>
      </c>
      <c r="O645" t="s">
        <v>42</v>
      </c>
      <c r="P645" t="s">
        <v>23</v>
      </c>
      <c r="Q645" s="49">
        <v>43005</v>
      </c>
      <c r="R645" s="49" t="str">
        <f>DataTable[HLD_Portfolio]&amp;DataTable[HLD_Date]</f>
        <v>SCBFPFUND43381</v>
      </c>
    </row>
    <row r="646" spans="1:18" x14ac:dyDescent="0.2">
      <c r="A646" s="49">
        <v>43381</v>
      </c>
      <c r="B646" t="s">
        <v>383</v>
      </c>
      <c r="C646" t="s">
        <v>18</v>
      </c>
      <c r="D646" t="s">
        <v>112</v>
      </c>
      <c r="F646" t="s">
        <v>711</v>
      </c>
      <c r="G646" t="s">
        <v>712</v>
      </c>
      <c r="H646" t="s">
        <v>126</v>
      </c>
      <c r="I646" s="49">
        <v>44399</v>
      </c>
      <c r="J646" s="47">
        <v>148610322</v>
      </c>
      <c r="K646">
        <v>769438.5</v>
      </c>
      <c r="L646">
        <v>150000000</v>
      </c>
      <c r="M646">
        <v>2.6645370000000002</v>
      </c>
      <c r="N646">
        <v>2.37</v>
      </c>
      <c r="O646" t="s">
        <v>42</v>
      </c>
      <c r="P646" t="s">
        <v>23</v>
      </c>
      <c r="Q646" s="49">
        <v>42573</v>
      </c>
      <c r="R646" s="49" t="str">
        <f>DataTable[HLD_Portfolio]&amp;DataTable[HLD_Date]</f>
        <v>SCBFPFUND43381</v>
      </c>
    </row>
    <row r="647" spans="1:18" x14ac:dyDescent="0.2">
      <c r="A647" s="49">
        <v>43381</v>
      </c>
      <c r="B647" t="s">
        <v>383</v>
      </c>
      <c r="C647" t="s">
        <v>18</v>
      </c>
      <c r="D647" t="s">
        <v>112</v>
      </c>
      <c r="F647" t="s">
        <v>713</v>
      </c>
      <c r="G647" t="s">
        <v>714</v>
      </c>
      <c r="I647" s="49">
        <v>43692</v>
      </c>
      <c r="J647" s="47">
        <v>1499235600</v>
      </c>
      <c r="K647">
        <v>4520550</v>
      </c>
      <c r="L647">
        <v>1499897325</v>
      </c>
      <c r="M647">
        <v>0.839866</v>
      </c>
      <c r="N647">
        <v>1.9971460000000001</v>
      </c>
      <c r="O647" t="s">
        <v>42</v>
      </c>
      <c r="P647" t="s">
        <v>23</v>
      </c>
      <c r="Q647" s="49">
        <v>42597</v>
      </c>
      <c r="R647" s="49" t="str">
        <f>DataTable[HLD_Portfolio]&amp;DataTable[HLD_Date]</f>
        <v>SCBFPFUND43381</v>
      </c>
    </row>
    <row r="648" spans="1:18" x14ac:dyDescent="0.2">
      <c r="A648" s="49">
        <v>43381</v>
      </c>
      <c r="B648" t="s">
        <v>383</v>
      </c>
      <c r="C648" t="s">
        <v>18</v>
      </c>
      <c r="D648" t="s">
        <v>112</v>
      </c>
      <c r="F648" t="s">
        <v>715</v>
      </c>
      <c r="G648" t="s">
        <v>642</v>
      </c>
      <c r="I648" s="49">
        <v>43889</v>
      </c>
      <c r="J648" s="47">
        <v>599036496</v>
      </c>
      <c r="K648">
        <v>2568000</v>
      </c>
      <c r="L648">
        <v>599994312</v>
      </c>
      <c r="M648">
        <v>1.3552759999999999</v>
      </c>
      <c r="N648">
        <v>2.1338140000000001</v>
      </c>
      <c r="O648" t="s">
        <v>42</v>
      </c>
      <c r="P648" t="s">
        <v>23</v>
      </c>
      <c r="Q648" s="49">
        <v>42397</v>
      </c>
      <c r="R648" s="49" t="str">
        <f>DataTable[HLD_Portfolio]&amp;DataTable[HLD_Date]</f>
        <v>SCBFPFUND43381</v>
      </c>
    </row>
    <row r="649" spans="1:18" x14ac:dyDescent="0.2">
      <c r="A649" s="49">
        <v>43381</v>
      </c>
      <c r="B649" t="s">
        <v>383</v>
      </c>
      <c r="C649" t="s">
        <v>18</v>
      </c>
      <c r="D649" t="s">
        <v>112</v>
      </c>
      <c r="F649" t="s">
        <v>716</v>
      </c>
      <c r="G649" t="s">
        <v>642</v>
      </c>
      <c r="I649" s="49">
        <v>44162</v>
      </c>
      <c r="J649" s="47">
        <v>247789767.5</v>
      </c>
      <c r="K649">
        <v>1849315</v>
      </c>
      <c r="L649">
        <v>250000000</v>
      </c>
      <c r="M649">
        <v>2.0599729999999998</v>
      </c>
      <c r="N649">
        <v>2</v>
      </c>
      <c r="O649" t="s">
        <v>42</v>
      </c>
      <c r="P649" t="s">
        <v>23</v>
      </c>
      <c r="Q649" s="49">
        <v>42517</v>
      </c>
      <c r="R649" s="49" t="str">
        <f>DataTable[HLD_Portfolio]&amp;DataTable[HLD_Date]</f>
        <v>SCBFPFUND43381</v>
      </c>
    </row>
    <row r="650" spans="1:18" x14ac:dyDescent="0.2">
      <c r="A650" s="49">
        <v>43381</v>
      </c>
      <c r="B650" t="s">
        <v>383</v>
      </c>
      <c r="C650" t="s">
        <v>18</v>
      </c>
      <c r="D650" t="s">
        <v>112</v>
      </c>
      <c r="F650" t="s">
        <v>717</v>
      </c>
      <c r="G650" t="s">
        <v>718</v>
      </c>
      <c r="H650" t="s">
        <v>51</v>
      </c>
      <c r="I650" s="49">
        <v>44728</v>
      </c>
      <c r="J650" s="47">
        <v>10363251.5</v>
      </c>
      <c r="K650">
        <v>120986.3</v>
      </c>
      <c r="L650">
        <v>10569592.5</v>
      </c>
      <c r="M650">
        <v>3.3907820000000002</v>
      </c>
      <c r="N650">
        <v>2.2200000000000002</v>
      </c>
      <c r="O650" t="s">
        <v>42</v>
      </c>
      <c r="P650" t="s">
        <v>23</v>
      </c>
      <c r="Q650" s="49">
        <v>42171</v>
      </c>
      <c r="R650" s="49" t="str">
        <f>DataTable[HLD_Portfolio]&amp;DataTable[HLD_Date]</f>
        <v>SCBFPFUND43381</v>
      </c>
    </row>
    <row r="651" spans="1:18" x14ac:dyDescent="0.2">
      <c r="A651" s="49">
        <v>43381</v>
      </c>
      <c r="B651" t="s">
        <v>383</v>
      </c>
      <c r="C651" t="s">
        <v>18</v>
      </c>
      <c r="D651" t="s">
        <v>112</v>
      </c>
      <c r="F651" t="s">
        <v>719</v>
      </c>
      <c r="G651" t="s">
        <v>720</v>
      </c>
      <c r="H651" t="s">
        <v>126</v>
      </c>
      <c r="I651" s="49">
        <v>43942</v>
      </c>
      <c r="J651" s="47">
        <v>120577028.40000001</v>
      </c>
      <c r="K651">
        <v>1506673.48</v>
      </c>
      <c r="L651">
        <v>119929170</v>
      </c>
      <c r="M651">
        <v>1.4955400000000001</v>
      </c>
      <c r="N651">
        <v>2.72</v>
      </c>
      <c r="O651" t="s">
        <v>42</v>
      </c>
      <c r="P651" t="s">
        <v>23</v>
      </c>
      <c r="Q651" s="49">
        <v>42846</v>
      </c>
      <c r="R651" s="49" t="str">
        <f>DataTable[HLD_Portfolio]&amp;DataTable[HLD_Date]</f>
        <v>SCBFPFUND43381</v>
      </c>
    </row>
    <row r="652" spans="1:18" x14ac:dyDescent="0.2">
      <c r="A652" s="49">
        <v>43381</v>
      </c>
      <c r="B652" t="s">
        <v>383</v>
      </c>
      <c r="C652" t="s">
        <v>18</v>
      </c>
      <c r="D652" t="s">
        <v>112</v>
      </c>
      <c r="F652" t="s">
        <v>721</v>
      </c>
      <c r="G652" t="s">
        <v>720</v>
      </c>
      <c r="H652" t="s">
        <v>126</v>
      </c>
      <c r="I652" s="49">
        <v>44307</v>
      </c>
      <c r="J652" s="47">
        <v>70575110.900000006</v>
      </c>
      <c r="K652">
        <v>983835.71</v>
      </c>
      <c r="L652">
        <v>70000000</v>
      </c>
      <c r="M652">
        <v>2.4280889999999999</v>
      </c>
      <c r="N652">
        <v>3</v>
      </c>
      <c r="O652" t="s">
        <v>42</v>
      </c>
      <c r="P652" t="s">
        <v>23</v>
      </c>
      <c r="Q652" s="49">
        <v>42846</v>
      </c>
      <c r="R652" s="49" t="str">
        <f>DataTable[HLD_Portfolio]&amp;DataTable[HLD_Date]</f>
        <v>SCBFPFUND43381</v>
      </c>
    </row>
    <row r="653" spans="1:18" x14ac:dyDescent="0.2">
      <c r="A653" s="49">
        <v>43381</v>
      </c>
      <c r="B653" t="s">
        <v>383</v>
      </c>
      <c r="C653" t="s">
        <v>18</v>
      </c>
      <c r="D653" t="s">
        <v>112</v>
      </c>
      <c r="F653" t="s">
        <v>722</v>
      </c>
      <c r="G653" t="s">
        <v>720</v>
      </c>
      <c r="H653" t="s">
        <v>126</v>
      </c>
      <c r="I653" s="49">
        <v>44672</v>
      </c>
      <c r="J653" s="47">
        <v>50485691</v>
      </c>
      <c r="K653">
        <v>761301.53</v>
      </c>
      <c r="L653">
        <v>50000000</v>
      </c>
      <c r="M653">
        <v>3.3211970000000002</v>
      </c>
      <c r="N653">
        <v>3.25</v>
      </c>
      <c r="O653" t="s">
        <v>42</v>
      </c>
      <c r="P653" t="s">
        <v>23</v>
      </c>
      <c r="Q653" s="49">
        <v>42846</v>
      </c>
      <c r="R653" s="49" t="str">
        <f>DataTable[HLD_Portfolio]&amp;DataTable[HLD_Date]</f>
        <v>SCBFPFUND43381</v>
      </c>
    </row>
    <row r="654" spans="1:18" x14ac:dyDescent="0.2">
      <c r="A654" s="49">
        <v>43381</v>
      </c>
      <c r="B654" t="s">
        <v>383</v>
      </c>
      <c r="C654" t="s">
        <v>18</v>
      </c>
      <c r="D654" t="s">
        <v>112</v>
      </c>
      <c r="F654" t="s">
        <v>723</v>
      </c>
      <c r="G654" t="s">
        <v>724</v>
      </c>
      <c r="H654" t="s">
        <v>47</v>
      </c>
      <c r="I654" s="49">
        <v>44375</v>
      </c>
      <c r="J654" s="47">
        <v>966556480.60000002</v>
      </c>
      <c r="K654">
        <v>6843146.2999999998</v>
      </c>
      <c r="L654">
        <v>969948240.79999995</v>
      </c>
      <c r="M654">
        <v>2.5937239999999999</v>
      </c>
      <c r="N654">
        <v>2.5</v>
      </c>
      <c r="O654" t="s">
        <v>42</v>
      </c>
      <c r="P654" t="s">
        <v>23</v>
      </c>
      <c r="Q654" s="49">
        <v>43279</v>
      </c>
      <c r="R654" s="49" t="str">
        <f>DataTable[HLD_Portfolio]&amp;DataTable[HLD_Date]</f>
        <v>SCBFPFUND43381</v>
      </c>
    </row>
    <row r="655" spans="1:18" x14ac:dyDescent="0.2">
      <c r="A655" s="49">
        <v>43381</v>
      </c>
      <c r="B655" t="s">
        <v>383</v>
      </c>
      <c r="C655" t="s">
        <v>18</v>
      </c>
      <c r="D655" t="s">
        <v>112</v>
      </c>
      <c r="F655" t="s">
        <v>588</v>
      </c>
      <c r="G655" t="s">
        <v>245</v>
      </c>
      <c r="H655" t="s">
        <v>29</v>
      </c>
      <c r="I655" s="49">
        <v>43431</v>
      </c>
      <c r="J655" s="47">
        <v>359130855.5</v>
      </c>
      <c r="K655">
        <v>4955969.87</v>
      </c>
      <c r="L655">
        <v>359000000</v>
      </c>
      <c r="M655">
        <v>0.133906</v>
      </c>
      <c r="N655">
        <v>2.2799999999999998</v>
      </c>
      <c r="O655" t="s">
        <v>42</v>
      </c>
      <c r="P655" t="s">
        <v>23</v>
      </c>
      <c r="Q655" s="49">
        <v>43161</v>
      </c>
      <c r="R655" s="49" t="str">
        <f>DataTable[HLD_Portfolio]&amp;DataTable[HLD_Date]</f>
        <v>SCBFPFUND43381</v>
      </c>
    </row>
    <row r="656" spans="1:18" x14ac:dyDescent="0.2">
      <c r="A656" s="49">
        <v>43381</v>
      </c>
      <c r="B656" t="s">
        <v>383</v>
      </c>
      <c r="C656" t="s">
        <v>18</v>
      </c>
      <c r="D656" t="s">
        <v>112</v>
      </c>
      <c r="F656" t="s">
        <v>589</v>
      </c>
      <c r="G656" t="s">
        <v>245</v>
      </c>
      <c r="H656" t="s">
        <v>29</v>
      </c>
      <c r="I656" s="49">
        <v>43391</v>
      </c>
      <c r="J656" s="47">
        <v>653017552.63999999</v>
      </c>
      <c r="K656">
        <v>5038835.32</v>
      </c>
      <c r="L656">
        <v>653000000</v>
      </c>
      <c r="M656">
        <v>2.4646999999999999E-2</v>
      </c>
      <c r="N656">
        <v>2.15</v>
      </c>
      <c r="O656" t="s">
        <v>42</v>
      </c>
      <c r="P656" t="s">
        <v>23</v>
      </c>
      <c r="Q656" s="49">
        <v>43251</v>
      </c>
      <c r="R656" s="49" t="str">
        <f>DataTable[HLD_Portfolio]&amp;DataTable[HLD_Date]</f>
        <v>SCBFPFUND43381</v>
      </c>
    </row>
    <row r="657" spans="1:18" x14ac:dyDescent="0.2">
      <c r="A657" s="49">
        <v>43381</v>
      </c>
      <c r="B657" t="s">
        <v>383</v>
      </c>
      <c r="C657" t="s">
        <v>18</v>
      </c>
      <c r="D657" t="s">
        <v>112</v>
      </c>
      <c r="F657" t="s">
        <v>638</v>
      </c>
      <c r="G657" t="s">
        <v>245</v>
      </c>
      <c r="H657" t="s">
        <v>29</v>
      </c>
      <c r="I657" s="49">
        <v>43494</v>
      </c>
      <c r="J657" s="47">
        <v>341150326.44</v>
      </c>
      <c r="K657">
        <v>3395050.56</v>
      </c>
      <c r="L657">
        <v>341000000</v>
      </c>
      <c r="M657">
        <v>0.30485299999999999</v>
      </c>
      <c r="N657">
        <v>2.2999999999999998</v>
      </c>
      <c r="O657" t="s">
        <v>42</v>
      </c>
      <c r="P657" t="s">
        <v>23</v>
      </c>
      <c r="Q657" s="49">
        <v>43224</v>
      </c>
      <c r="R657" s="49" t="str">
        <f>DataTable[HLD_Portfolio]&amp;DataTable[HLD_Date]</f>
        <v>SCBFPFUND43381</v>
      </c>
    </row>
    <row r="658" spans="1:18" x14ac:dyDescent="0.2">
      <c r="A658" s="49">
        <v>43381</v>
      </c>
      <c r="B658" t="s">
        <v>383</v>
      </c>
      <c r="C658" t="s">
        <v>18</v>
      </c>
      <c r="D658" t="s">
        <v>112</v>
      </c>
      <c r="F658" t="s">
        <v>590</v>
      </c>
      <c r="G658" t="s">
        <v>245</v>
      </c>
      <c r="H658" t="s">
        <v>29</v>
      </c>
      <c r="I658" s="49">
        <v>43494</v>
      </c>
      <c r="J658" s="47">
        <v>1418639050.0599999</v>
      </c>
      <c r="K658">
        <v>11973365.119999999</v>
      </c>
      <c r="L658">
        <v>1417959133.24</v>
      </c>
      <c r="M658">
        <v>0.30485299999999999</v>
      </c>
      <c r="N658">
        <v>2.2901199999999999</v>
      </c>
      <c r="O658" t="s">
        <v>42</v>
      </c>
      <c r="P658" t="s">
        <v>23</v>
      </c>
      <c r="Q658" s="49">
        <v>43248</v>
      </c>
      <c r="R658" s="49" t="str">
        <f>DataTable[HLD_Portfolio]&amp;DataTable[HLD_Date]</f>
        <v>SCBFPFUND43381</v>
      </c>
    </row>
    <row r="659" spans="1:18" x14ac:dyDescent="0.2">
      <c r="A659" s="49">
        <v>43381</v>
      </c>
      <c r="B659" t="s">
        <v>383</v>
      </c>
      <c r="C659" t="s">
        <v>18</v>
      </c>
      <c r="D659" t="s">
        <v>112</v>
      </c>
      <c r="F659" t="s">
        <v>725</v>
      </c>
      <c r="G659" t="s">
        <v>245</v>
      </c>
      <c r="H659" t="s">
        <v>29</v>
      </c>
      <c r="I659" s="49">
        <v>44875</v>
      </c>
      <c r="J659" s="47">
        <v>20204281.600000001</v>
      </c>
      <c r="K659">
        <v>342312.4</v>
      </c>
      <c r="L659">
        <v>20266594</v>
      </c>
      <c r="M659">
        <v>3.6737199999999999</v>
      </c>
      <c r="N659">
        <v>3.75</v>
      </c>
      <c r="O659" t="s">
        <v>42</v>
      </c>
      <c r="P659" t="s">
        <v>23</v>
      </c>
      <c r="Q659" s="49">
        <v>42318</v>
      </c>
      <c r="R659" s="49" t="str">
        <f>DataTable[HLD_Portfolio]&amp;DataTable[HLD_Date]</f>
        <v>SCBFPFUND43381</v>
      </c>
    </row>
    <row r="660" spans="1:18" x14ac:dyDescent="0.2">
      <c r="A660" s="49">
        <v>43381</v>
      </c>
      <c r="B660" t="s">
        <v>383</v>
      </c>
      <c r="C660" t="s">
        <v>18</v>
      </c>
      <c r="D660" t="s">
        <v>112</v>
      </c>
      <c r="F660" t="s">
        <v>591</v>
      </c>
      <c r="G660" t="s">
        <v>247</v>
      </c>
      <c r="H660" t="s">
        <v>29</v>
      </c>
      <c r="I660" s="49">
        <v>43454</v>
      </c>
      <c r="J660" s="47">
        <v>119063380.59</v>
      </c>
      <c r="K660">
        <v>1454734.54</v>
      </c>
      <c r="L660">
        <v>119000000</v>
      </c>
      <c r="M660">
        <v>0.196464</v>
      </c>
      <c r="N660">
        <v>2.2999999999999998</v>
      </c>
      <c r="O660" t="s">
        <v>42</v>
      </c>
      <c r="P660" t="s">
        <v>23</v>
      </c>
      <c r="Q660" s="49">
        <v>43188</v>
      </c>
      <c r="R660" s="49" t="str">
        <f>DataTable[HLD_Portfolio]&amp;DataTable[HLD_Date]</f>
        <v>SCBFPFUND43381</v>
      </c>
    </row>
    <row r="661" spans="1:18" x14ac:dyDescent="0.2">
      <c r="A661" s="49">
        <v>43381</v>
      </c>
      <c r="B661" t="s">
        <v>383</v>
      </c>
      <c r="C661" t="s">
        <v>18</v>
      </c>
      <c r="D661" t="s">
        <v>112</v>
      </c>
      <c r="F661" t="s">
        <v>246</v>
      </c>
      <c r="G661" t="s">
        <v>247</v>
      </c>
      <c r="H661" t="s">
        <v>29</v>
      </c>
      <c r="I661" s="49">
        <v>43494</v>
      </c>
      <c r="J661" s="47">
        <v>424090189.04000002</v>
      </c>
      <c r="K661">
        <v>3580188.16</v>
      </c>
      <c r="L661">
        <v>424000000</v>
      </c>
      <c r="M661">
        <v>0.30478100000000002</v>
      </c>
      <c r="N661">
        <v>2.2999999999999998</v>
      </c>
      <c r="O661" t="s">
        <v>42</v>
      </c>
      <c r="P661" t="s">
        <v>23</v>
      </c>
      <c r="Q661" s="49">
        <v>43248</v>
      </c>
      <c r="R661" s="49" t="str">
        <f>DataTable[HLD_Portfolio]&amp;DataTable[HLD_Date]</f>
        <v>SCBFPFUND43381</v>
      </c>
    </row>
    <row r="662" spans="1:18" x14ac:dyDescent="0.2">
      <c r="A662" s="49">
        <v>43381</v>
      </c>
      <c r="B662" t="s">
        <v>383</v>
      </c>
      <c r="C662" t="s">
        <v>18</v>
      </c>
      <c r="D662" t="s">
        <v>112</v>
      </c>
      <c r="F662" t="s">
        <v>248</v>
      </c>
      <c r="G662" t="s">
        <v>247</v>
      </c>
      <c r="H662" t="s">
        <v>29</v>
      </c>
      <c r="I662" s="49">
        <v>44410</v>
      </c>
      <c r="J662" s="47">
        <v>717285446.39999998</v>
      </c>
      <c r="K662">
        <v>4949281.7</v>
      </c>
      <c r="L662">
        <v>718000000</v>
      </c>
      <c r="M662">
        <v>2.644279</v>
      </c>
      <c r="N662">
        <v>3.7</v>
      </c>
      <c r="O662" t="s">
        <v>42</v>
      </c>
      <c r="P662" t="s">
        <v>23</v>
      </c>
      <c r="Q662" s="49">
        <v>43314</v>
      </c>
      <c r="R662" s="49" t="str">
        <f>DataTable[HLD_Portfolio]&amp;DataTable[HLD_Date]</f>
        <v>SCBFPFUND43381</v>
      </c>
    </row>
    <row r="663" spans="1:18" x14ac:dyDescent="0.2">
      <c r="A663" s="49">
        <v>43381</v>
      </c>
      <c r="B663" t="s">
        <v>383</v>
      </c>
      <c r="C663" t="s">
        <v>18</v>
      </c>
      <c r="D663" t="s">
        <v>112</v>
      </c>
      <c r="F663" t="s">
        <v>726</v>
      </c>
      <c r="G663" t="s">
        <v>75</v>
      </c>
      <c r="H663" t="s">
        <v>59</v>
      </c>
      <c r="I663" s="49">
        <v>44270</v>
      </c>
      <c r="J663" s="47">
        <v>119329219.2</v>
      </c>
      <c r="K663">
        <v>170432.4</v>
      </c>
      <c r="L663">
        <v>120000000</v>
      </c>
      <c r="M663">
        <v>2.3488920000000002</v>
      </c>
      <c r="N663">
        <v>2.16</v>
      </c>
      <c r="O663" t="s">
        <v>42</v>
      </c>
      <c r="P663" t="s">
        <v>23</v>
      </c>
      <c r="Q663" s="49">
        <v>42444</v>
      </c>
      <c r="R663" s="49" t="str">
        <f>DataTable[HLD_Portfolio]&amp;DataTable[HLD_Date]</f>
        <v>SCBFPFUND43381</v>
      </c>
    </row>
    <row r="664" spans="1:18" x14ac:dyDescent="0.2">
      <c r="A664" s="49">
        <v>43381</v>
      </c>
      <c r="B664" t="s">
        <v>383</v>
      </c>
      <c r="C664" t="s">
        <v>18</v>
      </c>
      <c r="D664" t="s">
        <v>112</v>
      </c>
      <c r="F664" t="s">
        <v>249</v>
      </c>
      <c r="G664" t="s">
        <v>250</v>
      </c>
      <c r="H664" t="s">
        <v>126</v>
      </c>
      <c r="I664" s="49">
        <v>44313</v>
      </c>
      <c r="J664" s="47">
        <v>144806904.06</v>
      </c>
      <c r="K664">
        <v>707440.08</v>
      </c>
      <c r="L664">
        <v>146000000</v>
      </c>
      <c r="M664">
        <v>2.4519630000000001</v>
      </c>
      <c r="N664">
        <v>2.39</v>
      </c>
      <c r="O664" t="s">
        <v>42</v>
      </c>
      <c r="P664" t="s">
        <v>23</v>
      </c>
      <c r="Q664" s="49">
        <v>43217</v>
      </c>
      <c r="R664" s="49" t="str">
        <f>DataTable[HLD_Portfolio]&amp;DataTable[HLD_Date]</f>
        <v>SCBFPFUND43381</v>
      </c>
    </row>
    <row r="665" spans="1:18" x14ac:dyDescent="0.2">
      <c r="A665" s="49">
        <v>43381</v>
      </c>
      <c r="B665" t="s">
        <v>383</v>
      </c>
      <c r="C665" t="s">
        <v>18</v>
      </c>
      <c r="D665" t="s">
        <v>112</v>
      </c>
      <c r="F665" t="s">
        <v>251</v>
      </c>
      <c r="G665" t="s">
        <v>252</v>
      </c>
      <c r="H665" t="s">
        <v>47</v>
      </c>
      <c r="I665" s="49">
        <v>44285</v>
      </c>
      <c r="J665" s="47">
        <v>597715144.60000002</v>
      </c>
      <c r="K665">
        <v>335470.52</v>
      </c>
      <c r="L665">
        <v>602000000</v>
      </c>
      <c r="M665">
        <v>2.3967779999999999</v>
      </c>
      <c r="N665">
        <v>2.2599999999999998</v>
      </c>
      <c r="O665" t="s">
        <v>42</v>
      </c>
      <c r="P665" t="s">
        <v>23</v>
      </c>
      <c r="Q665" s="49">
        <v>43189</v>
      </c>
      <c r="R665" s="49" t="str">
        <f>DataTable[HLD_Portfolio]&amp;DataTable[HLD_Date]</f>
        <v>SCBFPFUND43381</v>
      </c>
    </row>
    <row r="666" spans="1:18" x14ac:dyDescent="0.2">
      <c r="A666" s="49">
        <v>43381</v>
      </c>
      <c r="B666" t="s">
        <v>383</v>
      </c>
      <c r="C666" t="s">
        <v>18</v>
      </c>
      <c r="D666" t="s">
        <v>112</v>
      </c>
      <c r="F666" t="s">
        <v>253</v>
      </c>
      <c r="G666" t="s">
        <v>254</v>
      </c>
      <c r="H666" t="s">
        <v>126</v>
      </c>
      <c r="I666" s="49">
        <v>44061</v>
      </c>
      <c r="J666" s="47">
        <v>59518487.280000001</v>
      </c>
      <c r="K666">
        <v>279902.49</v>
      </c>
      <c r="L666">
        <v>59000000</v>
      </c>
      <c r="M666">
        <v>1.787984</v>
      </c>
      <c r="N666">
        <v>3.33</v>
      </c>
      <c r="O666" t="s">
        <v>42</v>
      </c>
      <c r="P666" t="s">
        <v>23</v>
      </c>
      <c r="Q666" s="49">
        <v>42965</v>
      </c>
      <c r="R666" s="49" t="str">
        <f>DataTable[HLD_Portfolio]&amp;DataTable[HLD_Date]</f>
        <v>SCBFPFUND43381</v>
      </c>
    </row>
    <row r="667" spans="1:18" x14ac:dyDescent="0.2">
      <c r="A667" s="49">
        <v>43381</v>
      </c>
      <c r="B667" t="s">
        <v>383</v>
      </c>
      <c r="C667" t="s">
        <v>18</v>
      </c>
      <c r="D667" t="s">
        <v>112</v>
      </c>
      <c r="F667" t="s">
        <v>547</v>
      </c>
      <c r="G667" t="s">
        <v>548</v>
      </c>
      <c r="H667" t="s">
        <v>47</v>
      </c>
      <c r="I667" s="49">
        <v>44109</v>
      </c>
      <c r="J667" s="47">
        <v>51317731.719999999</v>
      </c>
      <c r="K667">
        <v>12867.79</v>
      </c>
      <c r="L667">
        <v>51539813.109999999</v>
      </c>
      <c r="M667">
        <v>1.9302490000000001</v>
      </c>
      <c r="N667">
        <v>2.2415530000000001</v>
      </c>
      <c r="O667" t="s">
        <v>42</v>
      </c>
      <c r="P667" t="s">
        <v>23</v>
      </c>
      <c r="Q667" s="49">
        <v>43013</v>
      </c>
      <c r="R667" s="49" t="str">
        <f>DataTable[HLD_Portfolio]&amp;DataTable[HLD_Date]</f>
        <v>SCBFPFUND43381</v>
      </c>
    </row>
    <row r="668" spans="1:18" x14ac:dyDescent="0.2">
      <c r="A668" s="49">
        <v>43381</v>
      </c>
      <c r="B668" t="s">
        <v>383</v>
      </c>
      <c r="C668" t="s">
        <v>18</v>
      </c>
      <c r="D668" t="s">
        <v>112</v>
      </c>
      <c r="F668" t="s">
        <v>727</v>
      </c>
      <c r="G668" t="s">
        <v>728</v>
      </c>
      <c r="H668" t="s">
        <v>206</v>
      </c>
      <c r="I668" s="49">
        <v>43674</v>
      </c>
      <c r="J668" s="47">
        <v>134852034.59999999</v>
      </c>
      <c r="K668">
        <v>537300</v>
      </c>
      <c r="L668">
        <v>135000000</v>
      </c>
      <c r="M668">
        <v>0.79081299999999999</v>
      </c>
      <c r="N668">
        <v>1.99</v>
      </c>
      <c r="O668" t="s">
        <v>42</v>
      </c>
      <c r="P668" t="s">
        <v>23</v>
      </c>
      <c r="Q668" s="49">
        <v>42579</v>
      </c>
      <c r="R668" s="49" t="str">
        <f>DataTable[HLD_Portfolio]&amp;DataTable[HLD_Date]</f>
        <v>SCBFPFUND43381</v>
      </c>
    </row>
    <row r="669" spans="1:18" x14ac:dyDescent="0.2">
      <c r="A669" s="49">
        <v>43381</v>
      </c>
      <c r="B669" t="s">
        <v>383</v>
      </c>
      <c r="C669" t="s">
        <v>18</v>
      </c>
      <c r="D669" t="s">
        <v>112</v>
      </c>
      <c r="F669" t="s">
        <v>604</v>
      </c>
      <c r="G669" t="s">
        <v>195</v>
      </c>
      <c r="H669" t="s">
        <v>51</v>
      </c>
      <c r="I669" s="49">
        <v>44016</v>
      </c>
      <c r="J669" s="47">
        <v>49642171.68</v>
      </c>
      <c r="K669">
        <v>556168.80000000005</v>
      </c>
      <c r="L669">
        <v>48124500.479999997</v>
      </c>
      <c r="M669">
        <v>1.657349</v>
      </c>
      <c r="N669">
        <v>4.1895449999999999</v>
      </c>
      <c r="O669" t="s">
        <v>42</v>
      </c>
      <c r="P669" t="s">
        <v>23</v>
      </c>
      <c r="Q669" s="49">
        <v>41824</v>
      </c>
      <c r="R669" s="49" t="str">
        <f>DataTable[HLD_Portfolio]&amp;DataTable[HLD_Date]</f>
        <v>SCBFPFUND43381</v>
      </c>
    </row>
    <row r="670" spans="1:18" x14ac:dyDescent="0.2">
      <c r="A670" s="49">
        <v>43381</v>
      </c>
      <c r="B670" t="s">
        <v>383</v>
      </c>
      <c r="C670" t="s">
        <v>18</v>
      </c>
      <c r="D670" t="s">
        <v>112</v>
      </c>
      <c r="F670" t="s">
        <v>729</v>
      </c>
      <c r="G670" t="s">
        <v>21</v>
      </c>
      <c r="H670" t="s">
        <v>320</v>
      </c>
      <c r="I670" s="49">
        <v>43640</v>
      </c>
      <c r="J670" s="47">
        <v>49985778</v>
      </c>
      <c r="K670">
        <v>287287.5</v>
      </c>
      <c r="L670">
        <v>50000000</v>
      </c>
      <c r="M670">
        <v>0.69641900000000001</v>
      </c>
      <c r="N670">
        <v>1.96</v>
      </c>
      <c r="O670" t="s">
        <v>42</v>
      </c>
      <c r="P670" t="s">
        <v>23</v>
      </c>
      <c r="Q670" s="49">
        <v>42545</v>
      </c>
      <c r="R670" s="49" t="str">
        <f>DataTable[HLD_Portfolio]&amp;DataTable[HLD_Date]</f>
        <v>SCBFPFUND43381</v>
      </c>
    </row>
    <row r="671" spans="1:18" x14ac:dyDescent="0.2">
      <c r="A671" s="49">
        <v>43381</v>
      </c>
      <c r="B671" t="s">
        <v>383</v>
      </c>
      <c r="C671" t="s">
        <v>18</v>
      </c>
      <c r="D671" t="s">
        <v>112</v>
      </c>
      <c r="F671" t="s">
        <v>552</v>
      </c>
      <c r="G671" t="s">
        <v>21</v>
      </c>
      <c r="H671" t="s">
        <v>320</v>
      </c>
      <c r="I671" s="49">
        <v>44138</v>
      </c>
      <c r="J671" s="47">
        <v>505481946.06</v>
      </c>
      <c r="K671">
        <v>4118097.9</v>
      </c>
      <c r="L671">
        <v>511000000</v>
      </c>
      <c r="M671">
        <v>1.9989060000000001</v>
      </c>
      <c r="N671">
        <v>1.85</v>
      </c>
      <c r="O671" t="s">
        <v>42</v>
      </c>
      <c r="P671" t="s">
        <v>23</v>
      </c>
      <c r="Q671" s="49">
        <v>43042</v>
      </c>
      <c r="R671" s="49" t="str">
        <f>DataTable[HLD_Portfolio]&amp;DataTable[HLD_Date]</f>
        <v>SCBFPFUND43381</v>
      </c>
    </row>
    <row r="672" spans="1:18" x14ac:dyDescent="0.2">
      <c r="A672" s="49">
        <v>43381</v>
      </c>
      <c r="B672" t="s">
        <v>383</v>
      </c>
      <c r="C672" t="s">
        <v>18</v>
      </c>
      <c r="D672" t="s">
        <v>112</v>
      </c>
      <c r="F672" t="s">
        <v>730</v>
      </c>
      <c r="G672" t="s">
        <v>21</v>
      </c>
      <c r="H672" t="s">
        <v>320</v>
      </c>
      <c r="I672" s="49">
        <v>44222</v>
      </c>
      <c r="J672" s="47">
        <v>586946294.20000005</v>
      </c>
      <c r="K672">
        <v>2335172.7000000002</v>
      </c>
      <c r="L672">
        <v>595000000</v>
      </c>
      <c r="M672">
        <v>2.223401</v>
      </c>
      <c r="N672">
        <v>1.91</v>
      </c>
      <c r="O672" t="s">
        <v>42</v>
      </c>
      <c r="P672" t="s">
        <v>23</v>
      </c>
      <c r="Q672" s="49">
        <v>43126</v>
      </c>
      <c r="R672" s="49" t="str">
        <f>DataTable[HLD_Portfolio]&amp;DataTable[HLD_Date]</f>
        <v>SCBFPFUND43381</v>
      </c>
    </row>
    <row r="673" spans="1:18" x14ac:dyDescent="0.2">
      <c r="A673" s="49">
        <v>43381</v>
      </c>
      <c r="B673" t="s">
        <v>383</v>
      </c>
      <c r="C673" t="s">
        <v>18</v>
      </c>
      <c r="D673" t="s">
        <v>112</v>
      </c>
      <c r="F673" t="s">
        <v>731</v>
      </c>
      <c r="G673" t="s">
        <v>21</v>
      </c>
      <c r="H673" t="s">
        <v>320</v>
      </c>
      <c r="I673" s="49">
        <v>44389</v>
      </c>
      <c r="J673" s="47">
        <v>989156960</v>
      </c>
      <c r="K673">
        <v>5413150</v>
      </c>
      <c r="L673">
        <v>1000000000</v>
      </c>
      <c r="M673">
        <v>2.6438489999999999</v>
      </c>
      <c r="N673">
        <v>2.2200000000000002</v>
      </c>
      <c r="O673" t="s">
        <v>42</v>
      </c>
      <c r="P673" t="s">
        <v>23</v>
      </c>
      <c r="Q673" s="49">
        <v>43293</v>
      </c>
      <c r="R673" s="49" t="str">
        <f>DataTable[HLD_Portfolio]&amp;DataTable[HLD_Date]</f>
        <v>SCBFPFUND43381</v>
      </c>
    </row>
    <row r="674" spans="1:18" x14ac:dyDescent="0.2">
      <c r="A674" s="49">
        <v>43381</v>
      </c>
      <c r="B674" t="s">
        <v>383</v>
      </c>
      <c r="C674" t="s">
        <v>18</v>
      </c>
      <c r="D674" t="s">
        <v>112</v>
      </c>
      <c r="F674" t="s">
        <v>732</v>
      </c>
      <c r="G674" t="s">
        <v>733</v>
      </c>
      <c r="H674" t="s">
        <v>126</v>
      </c>
      <c r="I674" s="49">
        <v>44223</v>
      </c>
      <c r="J674" s="47">
        <v>12115720.08</v>
      </c>
      <c r="K674">
        <v>69823.56</v>
      </c>
      <c r="L674">
        <v>12115820.279999999</v>
      </c>
      <c r="M674">
        <v>2.2052640000000001</v>
      </c>
      <c r="N674">
        <v>2.4300000000000002</v>
      </c>
      <c r="O674" t="s">
        <v>42</v>
      </c>
      <c r="P674" t="s">
        <v>23</v>
      </c>
      <c r="Q674" s="49">
        <v>42396</v>
      </c>
      <c r="R674" s="49" t="str">
        <f>DataTable[HLD_Portfolio]&amp;DataTable[HLD_Date]</f>
        <v>SCBFPFUND43381</v>
      </c>
    </row>
    <row r="675" spans="1:18" x14ac:dyDescent="0.2">
      <c r="A675" s="49">
        <v>43381</v>
      </c>
      <c r="B675" t="s">
        <v>383</v>
      </c>
      <c r="C675" t="s">
        <v>18</v>
      </c>
      <c r="D675" t="s">
        <v>112</v>
      </c>
      <c r="F675" t="s">
        <v>734</v>
      </c>
      <c r="G675" t="s">
        <v>733</v>
      </c>
      <c r="H675" t="s">
        <v>126</v>
      </c>
      <c r="I675" s="49">
        <v>44917</v>
      </c>
      <c r="J675" s="47">
        <v>230702053.13999999</v>
      </c>
      <c r="K675">
        <v>1774939.14</v>
      </c>
      <c r="L675">
        <v>234000000</v>
      </c>
      <c r="M675">
        <v>3.9245899999999998</v>
      </c>
      <c r="N675">
        <v>2.54</v>
      </c>
      <c r="O675" t="s">
        <v>42</v>
      </c>
      <c r="P675" t="s">
        <v>23</v>
      </c>
      <c r="Q675" s="49">
        <v>43091</v>
      </c>
      <c r="R675" s="49" t="str">
        <f>DataTable[HLD_Portfolio]&amp;DataTable[HLD_Date]</f>
        <v>SCBFPFUND43381</v>
      </c>
    </row>
    <row r="676" spans="1:18" x14ac:dyDescent="0.2">
      <c r="A676" s="49">
        <v>43381</v>
      </c>
      <c r="B676" t="s">
        <v>383</v>
      </c>
      <c r="C676" t="s">
        <v>18</v>
      </c>
      <c r="D676" t="s">
        <v>112</v>
      </c>
      <c r="F676" t="s">
        <v>735</v>
      </c>
      <c r="G676" t="s">
        <v>554</v>
      </c>
      <c r="H676" t="s">
        <v>47</v>
      </c>
      <c r="I676" s="49">
        <v>44371</v>
      </c>
      <c r="J676" s="47">
        <v>208921786.5</v>
      </c>
      <c r="K676">
        <v>1551354</v>
      </c>
      <c r="L676">
        <v>209986056</v>
      </c>
      <c r="M676">
        <v>2.5810689999999998</v>
      </c>
      <c r="N676">
        <v>2.5204879999999998</v>
      </c>
      <c r="O676" t="s">
        <v>42</v>
      </c>
      <c r="P676" t="s">
        <v>23</v>
      </c>
      <c r="Q676" s="49">
        <v>42545</v>
      </c>
      <c r="R676" s="49" t="str">
        <f>DataTable[HLD_Portfolio]&amp;DataTable[HLD_Date]</f>
        <v>SCBFPFUND43381</v>
      </c>
    </row>
    <row r="677" spans="1:18" x14ac:dyDescent="0.2">
      <c r="A677" s="49">
        <v>43381</v>
      </c>
      <c r="B677" t="s">
        <v>383</v>
      </c>
      <c r="C677" t="s">
        <v>18</v>
      </c>
      <c r="D677" t="s">
        <v>112</v>
      </c>
      <c r="F677" t="s">
        <v>670</v>
      </c>
      <c r="G677" t="s">
        <v>554</v>
      </c>
      <c r="H677" t="s">
        <v>47</v>
      </c>
      <c r="I677" s="49">
        <v>44811</v>
      </c>
      <c r="J677" s="47">
        <v>142913255.69999999</v>
      </c>
      <c r="K677">
        <v>336877.05</v>
      </c>
      <c r="L677">
        <v>145000000</v>
      </c>
      <c r="M677">
        <v>3.6722890000000001</v>
      </c>
      <c r="N677">
        <v>2.65</v>
      </c>
      <c r="O677" t="s">
        <v>42</v>
      </c>
      <c r="P677" t="s">
        <v>23</v>
      </c>
      <c r="Q677" s="49">
        <v>42985</v>
      </c>
      <c r="R677" s="49" t="str">
        <f>DataTable[HLD_Portfolio]&amp;DataTable[HLD_Date]</f>
        <v>SCBFPFUND43381</v>
      </c>
    </row>
    <row r="678" spans="1:18" x14ac:dyDescent="0.2">
      <c r="A678" s="49">
        <v>43381</v>
      </c>
      <c r="B678" t="s">
        <v>383</v>
      </c>
      <c r="C678" t="s">
        <v>18</v>
      </c>
      <c r="D678" t="s">
        <v>112</v>
      </c>
      <c r="F678" t="s">
        <v>553</v>
      </c>
      <c r="G678" t="s">
        <v>554</v>
      </c>
      <c r="H678" t="s">
        <v>47</v>
      </c>
      <c r="I678" s="49">
        <v>45021</v>
      </c>
      <c r="J678" s="47">
        <v>224388666.81</v>
      </c>
      <c r="K678">
        <v>62275.29</v>
      </c>
      <c r="L678">
        <v>231000000</v>
      </c>
      <c r="M678">
        <v>4.2049690000000002</v>
      </c>
      <c r="N678">
        <v>2.46</v>
      </c>
      <c r="O678" t="s">
        <v>42</v>
      </c>
      <c r="P678" t="s">
        <v>23</v>
      </c>
      <c r="Q678" s="49">
        <v>43195</v>
      </c>
      <c r="R678" s="49" t="str">
        <f>DataTable[HLD_Portfolio]&amp;DataTable[HLD_Date]</f>
        <v>SCBFPFUND43381</v>
      </c>
    </row>
    <row r="679" spans="1:18" x14ac:dyDescent="0.2">
      <c r="A679" s="49">
        <v>43381</v>
      </c>
      <c r="B679" t="s">
        <v>383</v>
      </c>
      <c r="C679" t="s">
        <v>18</v>
      </c>
      <c r="D679" t="s">
        <v>112</v>
      </c>
      <c r="F679" t="s">
        <v>608</v>
      </c>
      <c r="G679" t="s">
        <v>258</v>
      </c>
      <c r="H679" t="s">
        <v>51</v>
      </c>
      <c r="I679" s="49">
        <v>43715</v>
      </c>
      <c r="J679" s="47">
        <v>811621177.34000003</v>
      </c>
      <c r="K679">
        <v>1663774.61</v>
      </c>
      <c r="L679">
        <v>815582547.38999999</v>
      </c>
      <c r="M679">
        <v>0.89233799999999996</v>
      </c>
      <c r="N679">
        <v>1.7201850000000001</v>
      </c>
      <c r="O679" t="s">
        <v>42</v>
      </c>
      <c r="P679" t="s">
        <v>23</v>
      </c>
      <c r="Q679" s="49">
        <v>42620</v>
      </c>
      <c r="R679" s="49" t="str">
        <f>DataTable[HLD_Portfolio]&amp;DataTable[HLD_Date]</f>
        <v>SCBFPFUND43381</v>
      </c>
    </row>
    <row r="680" spans="1:18" x14ac:dyDescent="0.2">
      <c r="A680" s="49">
        <v>43381</v>
      </c>
      <c r="B680" t="s">
        <v>383</v>
      </c>
      <c r="C680" t="s">
        <v>18</v>
      </c>
      <c r="D680" t="s">
        <v>112</v>
      </c>
      <c r="F680" t="s">
        <v>257</v>
      </c>
      <c r="G680" t="s">
        <v>258</v>
      </c>
      <c r="H680" t="s">
        <v>51</v>
      </c>
      <c r="I680" s="49">
        <v>43990</v>
      </c>
      <c r="J680" s="47">
        <v>489461038.98000002</v>
      </c>
      <c r="K680">
        <v>4465709.37</v>
      </c>
      <c r="L680">
        <v>494766160.86000001</v>
      </c>
      <c r="M680">
        <v>1.6034299999999999</v>
      </c>
      <c r="N680">
        <v>1.9830779999999999</v>
      </c>
      <c r="O680" t="s">
        <v>42</v>
      </c>
      <c r="P680" t="s">
        <v>23</v>
      </c>
      <c r="Q680" s="49">
        <v>42712</v>
      </c>
      <c r="R680" s="49" t="str">
        <f>DataTable[HLD_Portfolio]&amp;DataTable[HLD_Date]</f>
        <v>SCBFPFUND43381</v>
      </c>
    </row>
    <row r="681" spans="1:18" x14ac:dyDescent="0.2">
      <c r="A681" s="49">
        <v>43381</v>
      </c>
      <c r="B681" t="s">
        <v>383</v>
      </c>
      <c r="C681" t="s">
        <v>18</v>
      </c>
      <c r="D681" t="s">
        <v>112</v>
      </c>
      <c r="F681" t="s">
        <v>555</v>
      </c>
      <c r="G681" t="s">
        <v>258</v>
      </c>
      <c r="H681" t="s">
        <v>51</v>
      </c>
      <c r="I681" s="49">
        <v>44446</v>
      </c>
      <c r="J681" s="47">
        <v>139404175.40000001</v>
      </c>
      <c r="K681">
        <v>330170.40000000002</v>
      </c>
      <c r="L681">
        <v>142417612.40000001</v>
      </c>
      <c r="M681">
        <v>2.770721</v>
      </c>
      <c r="N681">
        <v>2.0785710000000002</v>
      </c>
      <c r="O681" t="s">
        <v>42</v>
      </c>
      <c r="P681" t="s">
        <v>23</v>
      </c>
      <c r="Q681" s="49">
        <v>42620</v>
      </c>
      <c r="R681" s="49" t="str">
        <f>DataTable[HLD_Portfolio]&amp;DataTable[HLD_Date]</f>
        <v>SCBFPFUND43381</v>
      </c>
    </row>
    <row r="682" spans="1:18" x14ac:dyDescent="0.2">
      <c r="A682" s="49">
        <v>43381</v>
      </c>
      <c r="B682" t="s">
        <v>383</v>
      </c>
      <c r="C682" t="s">
        <v>18</v>
      </c>
      <c r="D682" t="s">
        <v>112</v>
      </c>
      <c r="F682" t="s">
        <v>736</v>
      </c>
      <c r="G682" t="s">
        <v>258</v>
      </c>
      <c r="H682" t="s">
        <v>51</v>
      </c>
      <c r="I682" s="49">
        <v>44644</v>
      </c>
      <c r="J682" s="47">
        <v>46041405.719999999</v>
      </c>
      <c r="K682">
        <v>61091.69</v>
      </c>
      <c r="L682">
        <v>47267001.939999998</v>
      </c>
      <c r="M682">
        <v>3.2436539999999998</v>
      </c>
      <c r="N682">
        <v>2.16</v>
      </c>
      <c r="O682" t="s">
        <v>42</v>
      </c>
      <c r="P682" t="s">
        <v>23</v>
      </c>
      <c r="Q682" s="49">
        <v>42818</v>
      </c>
      <c r="R682" s="49" t="str">
        <f>DataTable[HLD_Portfolio]&amp;DataTable[HLD_Date]</f>
        <v>SCBFPFUND43381</v>
      </c>
    </row>
    <row r="683" spans="1:18" x14ac:dyDescent="0.2">
      <c r="A683" s="49">
        <v>43381</v>
      </c>
      <c r="B683" t="s">
        <v>383</v>
      </c>
      <c r="C683" t="s">
        <v>18</v>
      </c>
      <c r="D683" t="s">
        <v>112</v>
      </c>
      <c r="F683" t="s">
        <v>259</v>
      </c>
      <c r="G683" t="s">
        <v>260</v>
      </c>
      <c r="H683" t="s">
        <v>47</v>
      </c>
      <c r="I683" s="49">
        <v>43783</v>
      </c>
      <c r="J683" s="47">
        <v>50812584.5</v>
      </c>
      <c r="K683">
        <v>713644</v>
      </c>
      <c r="L683">
        <v>50000000</v>
      </c>
      <c r="M683">
        <v>1.0625089999999999</v>
      </c>
      <c r="N683">
        <v>3.52</v>
      </c>
      <c r="O683" t="s">
        <v>42</v>
      </c>
      <c r="P683" t="s">
        <v>23</v>
      </c>
      <c r="Q683" s="49">
        <v>41957</v>
      </c>
      <c r="R683" s="49" t="str">
        <f>DataTable[HLD_Portfolio]&amp;DataTable[HLD_Date]</f>
        <v>SCBFPFUND43381</v>
      </c>
    </row>
    <row r="684" spans="1:18" x14ac:dyDescent="0.2">
      <c r="A684" s="49">
        <v>43381</v>
      </c>
      <c r="B684" t="s">
        <v>383</v>
      </c>
      <c r="C684" t="s">
        <v>18</v>
      </c>
      <c r="D684" t="s">
        <v>112</v>
      </c>
      <c r="F684" t="s">
        <v>737</v>
      </c>
      <c r="G684" t="s">
        <v>260</v>
      </c>
      <c r="H684" t="s">
        <v>47</v>
      </c>
      <c r="I684" s="49">
        <v>44033</v>
      </c>
      <c r="J684" s="47">
        <v>59839253.399999999</v>
      </c>
      <c r="K684">
        <v>315616.2</v>
      </c>
      <c r="L684">
        <v>60411978.600000001</v>
      </c>
      <c r="M684">
        <v>1.727573</v>
      </c>
      <c r="N684">
        <v>2</v>
      </c>
      <c r="O684" t="s">
        <v>42</v>
      </c>
      <c r="P684" t="s">
        <v>23</v>
      </c>
      <c r="Q684" s="49">
        <v>42937</v>
      </c>
      <c r="R684" s="49" t="str">
        <f>DataTable[HLD_Portfolio]&amp;DataTable[HLD_Date]</f>
        <v>SCBFPFUND43381</v>
      </c>
    </row>
    <row r="685" spans="1:18" x14ac:dyDescent="0.2">
      <c r="A685" s="49">
        <v>43381</v>
      </c>
      <c r="B685" t="s">
        <v>383</v>
      </c>
      <c r="C685" t="s">
        <v>18</v>
      </c>
      <c r="D685" t="s">
        <v>112</v>
      </c>
      <c r="F685" t="s">
        <v>557</v>
      </c>
      <c r="G685" t="s">
        <v>260</v>
      </c>
      <c r="H685" t="s">
        <v>47</v>
      </c>
      <c r="I685" s="49">
        <v>44341</v>
      </c>
      <c r="J685" s="47">
        <v>556167488.79999995</v>
      </c>
      <c r="K685">
        <v>4834412.8</v>
      </c>
      <c r="L685">
        <v>560177951.20000005</v>
      </c>
      <c r="M685">
        <v>2.5121509999999998</v>
      </c>
      <c r="N685">
        <v>2.2832590000000001</v>
      </c>
      <c r="O685" t="s">
        <v>42</v>
      </c>
      <c r="P685" t="s">
        <v>23</v>
      </c>
      <c r="Q685" s="49">
        <v>42515</v>
      </c>
      <c r="R685" s="49" t="str">
        <f>DataTable[HLD_Portfolio]&amp;DataTable[HLD_Date]</f>
        <v>SCBFPFUND43381</v>
      </c>
    </row>
    <row r="686" spans="1:18" x14ac:dyDescent="0.2">
      <c r="A686" s="49">
        <v>43381</v>
      </c>
      <c r="B686" t="s">
        <v>383</v>
      </c>
      <c r="C686" t="s">
        <v>18</v>
      </c>
      <c r="D686" t="s">
        <v>112</v>
      </c>
      <c r="F686" t="s">
        <v>558</v>
      </c>
      <c r="G686" t="s">
        <v>260</v>
      </c>
      <c r="H686" t="s">
        <v>47</v>
      </c>
      <c r="I686" s="49">
        <v>44763</v>
      </c>
      <c r="J686" s="47">
        <v>98219131.920000002</v>
      </c>
      <c r="K686">
        <v>633643.5</v>
      </c>
      <c r="L686">
        <v>98000000</v>
      </c>
      <c r="M686">
        <v>3.5365639999999998</v>
      </c>
      <c r="N686">
        <v>2.95</v>
      </c>
      <c r="O686" t="s">
        <v>42</v>
      </c>
      <c r="P686" t="s">
        <v>23</v>
      </c>
      <c r="Q686" s="49">
        <v>42937</v>
      </c>
      <c r="R686" s="49" t="str">
        <f>DataTable[HLD_Portfolio]&amp;DataTable[HLD_Date]</f>
        <v>SCBFPFUND43381</v>
      </c>
    </row>
    <row r="687" spans="1:18" x14ac:dyDescent="0.2">
      <c r="A687" s="49">
        <v>43381</v>
      </c>
      <c r="B687" t="s">
        <v>383</v>
      </c>
      <c r="C687" t="s">
        <v>18</v>
      </c>
      <c r="D687" t="s">
        <v>112</v>
      </c>
      <c r="F687" t="s">
        <v>559</v>
      </c>
      <c r="G687" t="s">
        <v>260</v>
      </c>
      <c r="H687" t="s">
        <v>47</v>
      </c>
      <c r="I687" s="49">
        <v>45013</v>
      </c>
      <c r="J687" s="47">
        <v>45928989.380000003</v>
      </c>
      <c r="K687">
        <v>35694.15</v>
      </c>
      <c r="L687">
        <v>47000000</v>
      </c>
      <c r="M687">
        <v>4.1807819999999998</v>
      </c>
      <c r="N687">
        <v>2.52</v>
      </c>
      <c r="O687" t="s">
        <v>42</v>
      </c>
      <c r="P687" t="s">
        <v>23</v>
      </c>
      <c r="Q687" s="49">
        <v>43187</v>
      </c>
      <c r="R687" s="49" t="str">
        <f>DataTable[HLD_Portfolio]&amp;DataTable[HLD_Date]</f>
        <v>SCBFPFUND43381</v>
      </c>
    </row>
    <row r="688" spans="1:18" x14ac:dyDescent="0.2">
      <c r="A688" s="49">
        <v>43381</v>
      </c>
      <c r="B688" t="s">
        <v>383</v>
      </c>
      <c r="C688" t="s">
        <v>18</v>
      </c>
      <c r="D688" t="s">
        <v>112</v>
      </c>
      <c r="F688" t="s">
        <v>562</v>
      </c>
      <c r="G688" t="s">
        <v>197</v>
      </c>
      <c r="H688" t="s">
        <v>47</v>
      </c>
      <c r="I688" s="49">
        <v>44191</v>
      </c>
      <c r="J688" s="47">
        <v>85405457.060000002</v>
      </c>
      <c r="K688">
        <v>554170.24</v>
      </c>
      <c r="L688">
        <v>86000000</v>
      </c>
      <c r="M688">
        <v>2.1313840000000002</v>
      </c>
      <c r="N688">
        <v>2.2400000000000002</v>
      </c>
      <c r="O688" t="s">
        <v>42</v>
      </c>
      <c r="P688" t="s">
        <v>23</v>
      </c>
      <c r="Q688" s="49">
        <v>43095</v>
      </c>
      <c r="R688" s="49" t="str">
        <f>DataTable[HLD_Portfolio]&amp;DataTable[HLD_Date]</f>
        <v>SCBFPFUND43381</v>
      </c>
    </row>
    <row r="689" spans="1:18" x14ac:dyDescent="0.2">
      <c r="A689" s="49">
        <v>43381</v>
      </c>
      <c r="B689" t="s">
        <v>383</v>
      </c>
      <c r="C689" t="s">
        <v>18</v>
      </c>
      <c r="D689" t="s">
        <v>112</v>
      </c>
      <c r="F689" t="s">
        <v>563</v>
      </c>
      <c r="G689" t="s">
        <v>564</v>
      </c>
      <c r="H689" t="s">
        <v>126</v>
      </c>
      <c r="I689" s="49">
        <v>43997</v>
      </c>
      <c r="J689" s="47">
        <v>574444363.13999999</v>
      </c>
      <c r="K689">
        <v>4089268.24</v>
      </c>
      <c r="L689">
        <v>577000000</v>
      </c>
      <c r="M689">
        <v>1.6302669999999999</v>
      </c>
      <c r="N689">
        <v>2.23</v>
      </c>
      <c r="O689" t="s">
        <v>42</v>
      </c>
      <c r="P689" t="s">
        <v>23</v>
      </c>
      <c r="Q689" s="49">
        <v>43266</v>
      </c>
      <c r="R689" s="49" t="str">
        <f>DataTable[HLD_Portfolio]&amp;DataTable[HLD_Date]</f>
        <v>SCBFPFUND43381</v>
      </c>
    </row>
    <row r="690" spans="1:18" x14ac:dyDescent="0.2">
      <c r="A690" s="49">
        <v>43381</v>
      </c>
      <c r="B690" t="s">
        <v>383</v>
      </c>
      <c r="C690" t="s">
        <v>18</v>
      </c>
      <c r="D690" t="s">
        <v>112</v>
      </c>
      <c r="F690" t="s">
        <v>738</v>
      </c>
      <c r="G690" t="s">
        <v>739</v>
      </c>
      <c r="H690" t="s">
        <v>47</v>
      </c>
      <c r="I690" s="49">
        <v>44365</v>
      </c>
      <c r="J690" s="47">
        <v>59280587.399999999</v>
      </c>
      <c r="K690">
        <v>475528.8</v>
      </c>
      <c r="L690">
        <v>60000000</v>
      </c>
      <c r="M690">
        <v>2.5591189999999999</v>
      </c>
      <c r="N690">
        <v>2.56</v>
      </c>
      <c r="O690" t="s">
        <v>42</v>
      </c>
      <c r="P690" t="s">
        <v>23</v>
      </c>
      <c r="Q690" s="49">
        <v>43269</v>
      </c>
      <c r="R690" s="49" t="str">
        <f>DataTable[HLD_Portfolio]&amp;DataTable[HLD_Date]</f>
        <v>SCBFPFUND43381</v>
      </c>
    </row>
    <row r="691" spans="1:18" x14ac:dyDescent="0.2">
      <c r="A691" s="49">
        <v>43381</v>
      </c>
      <c r="B691" t="s">
        <v>383</v>
      </c>
      <c r="C691" t="s">
        <v>18</v>
      </c>
      <c r="D691" t="s">
        <v>112</v>
      </c>
      <c r="F691" t="s">
        <v>610</v>
      </c>
      <c r="G691" t="s">
        <v>114</v>
      </c>
      <c r="H691" t="s">
        <v>51</v>
      </c>
      <c r="I691" s="49">
        <v>43699</v>
      </c>
      <c r="J691" s="47">
        <v>523215567.68000001</v>
      </c>
      <c r="K691">
        <v>2872766.56</v>
      </c>
      <c r="L691">
        <v>517394635.89999998</v>
      </c>
      <c r="M691">
        <v>0.85316499999999995</v>
      </c>
      <c r="N691">
        <v>3.4506480000000002</v>
      </c>
      <c r="O691" t="s">
        <v>42</v>
      </c>
      <c r="P691" t="s">
        <v>23</v>
      </c>
      <c r="Q691" s="49">
        <v>41873</v>
      </c>
      <c r="R691" s="49" t="str">
        <f>DataTable[HLD_Portfolio]&amp;DataTable[HLD_Date]</f>
        <v>SCBFPFUND43381</v>
      </c>
    </row>
    <row r="692" spans="1:18" x14ac:dyDescent="0.2">
      <c r="A692" s="49">
        <v>43381</v>
      </c>
      <c r="B692" t="s">
        <v>383</v>
      </c>
      <c r="C692" t="s">
        <v>18</v>
      </c>
      <c r="D692" t="s">
        <v>112</v>
      </c>
      <c r="F692" t="s">
        <v>740</v>
      </c>
      <c r="G692" t="s">
        <v>114</v>
      </c>
      <c r="H692" t="s">
        <v>51</v>
      </c>
      <c r="I692" s="49">
        <v>44135</v>
      </c>
      <c r="J692" s="47">
        <v>26348710.5</v>
      </c>
      <c r="K692">
        <v>565890.5</v>
      </c>
      <c r="L692">
        <v>26457336.75</v>
      </c>
      <c r="M692">
        <v>1.9204559999999999</v>
      </c>
      <c r="N692">
        <v>2.1800000000000002</v>
      </c>
      <c r="O692" t="s">
        <v>42</v>
      </c>
      <c r="P692" t="s">
        <v>23</v>
      </c>
      <c r="Q692" s="49">
        <v>41578</v>
      </c>
      <c r="R692" s="49" t="str">
        <f>DataTable[HLD_Portfolio]&amp;DataTable[HLD_Date]</f>
        <v>SCBFPFUND43381</v>
      </c>
    </row>
    <row r="693" spans="1:18" x14ac:dyDescent="0.2">
      <c r="A693" s="49">
        <v>43381</v>
      </c>
      <c r="B693" t="s">
        <v>383</v>
      </c>
      <c r="C693" t="s">
        <v>18</v>
      </c>
      <c r="D693" t="s">
        <v>112</v>
      </c>
      <c r="F693" t="s">
        <v>741</v>
      </c>
      <c r="G693" t="s">
        <v>199</v>
      </c>
      <c r="H693" t="s">
        <v>51</v>
      </c>
      <c r="I693" s="49">
        <v>43680</v>
      </c>
      <c r="J693" s="47">
        <v>244413931.38</v>
      </c>
      <c r="K693">
        <v>2190807.7000000002</v>
      </c>
      <c r="L693">
        <v>243037732.78</v>
      </c>
      <c r="M693">
        <v>0.80046200000000001</v>
      </c>
      <c r="N693">
        <v>2.7152810000000001</v>
      </c>
      <c r="O693" t="s">
        <v>42</v>
      </c>
      <c r="P693" t="s">
        <v>23</v>
      </c>
      <c r="Q693" s="49">
        <v>41124</v>
      </c>
      <c r="R693" s="49" t="str">
        <f>DataTable[HLD_Portfolio]&amp;DataTable[HLD_Date]</f>
        <v>SCBFPFUND43381</v>
      </c>
    </row>
    <row r="694" spans="1:18" x14ac:dyDescent="0.2">
      <c r="A694" s="49">
        <v>43381</v>
      </c>
      <c r="B694" t="s">
        <v>383</v>
      </c>
      <c r="C694" t="s">
        <v>18</v>
      </c>
      <c r="D694" t="s">
        <v>112</v>
      </c>
      <c r="F694" t="s">
        <v>613</v>
      </c>
      <c r="G694" t="s">
        <v>199</v>
      </c>
      <c r="H694" t="s">
        <v>51</v>
      </c>
      <c r="I694" s="49">
        <v>43933</v>
      </c>
      <c r="J694" s="47">
        <v>160186161.59999999</v>
      </c>
      <c r="K694">
        <v>1799013.26</v>
      </c>
      <c r="L694">
        <v>160089792</v>
      </c>
      <c r="M694">
        <v>1.4751510000000001</v>
      </c>
      <c r="N694">
        <v>2.242022</v>
      </c>
      <c r="O694" t="s">
        <v>42</v>
      </c>
      <c r="P694" t="s">
        <v>23</v>
      </c>
      <c r="Q694" s="49">
        <v>42472</v>
      </c>
      <c r="R694" s="49" t="str">
        <f>DataTable[HLD_Portfolio]&amp;DataTable[HLD_Date]</f>
        <v>SCBFPFUND43381</v>
      </c>
    </row>
    <row r="695" spans="1:18" x14ac:dyDescent="0.2">
      <c r="A695" s="49">
        <v>43381</v>
      </c>
      <c r="B695" t="s">
        <v>383</v>
      </c>
      <c r="C695" t="s">
        <v>18</v>
      </c>
      <c r="D695" t="s">
        <v>112</v>
      </c>
      <c r="F695" t="s">
        <v>742</v>
      </c>
      <c r="G695" t="s">
        <v>199</v>
      </c>
      <c r="H695" t="s">
        <v>51</v>
      </c>
      <c r="I695" s="49">
        <v>43964</v>
      </c>
      <c r="J695" s="47">
        <v>282040991.31999999</v>
      </c>
      <c r="K695">
        <v>3642867.52</v>
      </c>
      <c r="L695">
        <v>283229416.30000001</v>
      </c>
      <c r="M695">
        <v>1.532111</v>
      </c>
      <c r="N695">
        <v>1.9973019999999999</v>
      </c>
      <c r="O695" t="s">
        <v>42</v>
      </c>
      <c r="P695" t="s">
        <v>23</v>
      </c>
      <c r="Q695" s="49">
        <v>42137</v>
      </c>
      <c r="R695" s="49" t="str">
        <f>DataTable[HLD_Portfolio]&amp;DataTable[HLD_Date]</f>
        <v>SCBFPFUND43381</v>
      </c>
    </row>
    <row r="696" spans="1:18" x14ac:dyDescent="0.2">
      <c r="A696" s="49">
        <v>43381</v>
      </c>
      <c r="B696" t="s">
        <v>383</v>
      </c>
      <c r="C696" t="s">
        <v>18</v>
      </c>
      <c r="D696" t="s">
        <v>112</v>
      </c>
      <c r="F696" t="s">
        <v>567</v>
      </c>
      <c r="G696" t="s">
        <v>199</v>
      </c>
      <c r="H696" t="s">
        <v>51</v>
      </c>
      <c r="I696" s="49">
        <v>44410</v>
      </c>
      <c r="J696" s="47">
        <v>31848070.199999999</v>
      </c>
      <c r="K696">
        <v>273863.09999999998</v>
      </c>
      <c r="L696">
        <v>31521865.199999999</v>
      </c>
      <c r="M696">
        <v>2.6163630000000002</v>
      </c>
      <c r="N696">
        <v>3</v>
      </c>
      <c r="O696" t="s">
        <v>42</v>
      </c>
      <c r="P696" t="s">
        <v>23</v>
      </c>
      <c r="Q696" s="49">
        <v>41488</v>
      </c>
      <c r="R696" s="49" t="str">
        <f>DataTable[HLD_Portfolio]&amp;DataTable[HLD_Date]</f>
        <v>SCBFPFUND43381</v>
      </c>
    </row>
    <row r="697" spans="1:18" x14ac:dyDescent="0.2">
      <c r="A697" s="49">
        <v>43381</v>
      </c>
      <c r="B697" t="s">
        <v>383</v>
      </c>
      <c r="C697" t="s">
        <v>18</v>
      </c>
      <c r="D697" t="s">
        <v>112</v>
      </c>
      <c r="F697" t="s">
        <v>743</v>
      </c>
      <c r="G697" t="s">
        <v>199</v>
      </c>
      <c r="H697" t="s">
        <v>51</v>
      </c>
      <c r="I697" s="49">
        <v>44776</v>
      </c>
      <c r="J697" s="47">
        <v>65011570.799999997</v>
      </c>
      <c r="K697">
        <v>550684.80000000005</v>
      </c>
      <c r="L697">
        <v>64510349.399999999</v>
      </c>
      <c r="M697">
        <v>3.459613</v>
      </c>
      <c r="N697">
        <v>3.14</v>
      </c>
      <c r="O697" t="s">
        <v>42</v>
      </c>
      <c r="P697" t="s">
        <v>23</v>
      </c>
      <c r="Q697" s="49">
        <v>41124</v>
      </c>
      <c r="R697" s="49" t="str">
        <f>DataTable[HLD_Portfolio]&amp;DataTable[HLD_Date]</f>
        <v>SCBFPFUND43381</v>
      </c>
    </row>
    <row r="698" spans="1:18" x14ac:dyDescent="0.2">
      <c r="A698" s="49">
        <v>43381</v>
      </c>
      <c r="B698" t="s">
        <v>383</v>
      </c>
      <c r="C698" t="s">
        <v>18</v>
      </c>
      <c r="D698" t="s">
        <v>112</v>
      </c>
      <c r="F698" t="s">
        <v>676</v>
      </c>
      <c r="G698" t="s">
        <v>199</v>
      </c>
      <c r="H698" t="s">
        <v>51</v>
      </c>
      <c r="I698" s="49">
        <v>45394</v>
      </c>
      <c r="J698" s="47">
        <v>61674255.719999999</v>
      </c>
      <c r="K698">
        <v>950892.93</v>
      </c>
      <c r="L698">
        <v>62000000</v>
      </c>
      <c r="M698">
        <v>5.023841</v>
      </c>
      <c r="N698">
        <v>3.11</v>
      </c>
      <c r="O698" t="s">
        <v>42</v>
      </c>
      <c r="P698" t="s">
        <v>23</v>
      </c>
      <c r="Q698" s="49">
        <v>42472</v>
      </c>
      <c r="R698" s="49" t="str">
        <f>DataTable[HLD_Portfolio]&amp;DataTable[HLD_Date]</f>
        <v>SCBFPFUND43381</v>
      </c>
    </row>
    <row r="699" spans="1:18" x14ac:dyDescent="0.2">
      <c r="A699" s="49">
        <v>43381</v>
      </c>
      <c r="B699" t="s">
        <v>383</v>
      </c>
      <c r="C699" t="s">
        <v>18</v>
      </c>
      <c r="D699" t="s">
        <v>112</v>
      </c>
      <c r="F699" t="s">
        <v>568</v>
      </c>
      <c r="G699" t="s">
        <v>199</v>
      </c>
      <c r="H699" t="s">
        <v>51</v>
      </c>
      <c r="I699" s="49">
        <v>45681</v>
      </c>
      <c r="J699" s="47">
        <v>374804517.08999997</v>
      </c>
      <c r="K699">
        <v>2451449.25</v>
      </c>
      <c r="L699">
        <v>381000000</v>
      </c>
      <c r="M699">
        <v>5.6386060000000002</v>
      </c>
      <c r="N699">
        <v>3.05</v>
      </c>
      <c r="O699" t="s">
        <v>42</v>
      </c>
      <c r="P699" t="s">
        <v>23</v>
      </c>
      <c r="Q699" s="49">
        <v>43124</v>
      </c>
      <c r="R699" s="49" t="str">
        <f>DataTable[HLD_Portfolio]&amp;DataTable[HLD_Date]</f>
        <v>SCBFPFUND43381</v>
      </c>
    </row>
    <row r="700" spans="1:18" x14ac:dyDescent="0.2">
      <c r="A700" s="49">
        <v>43381</v>
      </c>
      <c r="B700" t="s">
        <v>383</v>
      </c>
      <c r="C700" t="s">
        <v>18</v>
      </c>
      <c r="D700" t="s">
        <v>112</v>
      </c>
      <c r="F700" t="s">
        <v>677</v>
      </c>
      <c r="G700" t="s">
        <v>202</v>
      </c>
      <c r="H700" t="s">
        <v>51</v>
      </c>
      <c r="I700" s="49">
        <v>44216</v>
      </c>
      <c r="J700" s="47">
        <v>676075688.90999997</v>
      </c>
      <c r="K700">
        <v>4588593.1500000004</v>
      </c>
      <c r="L700">
        <v>667136221.40999997</v>
      </c>
      <c r="M700">
        <v>2.1806899999999998</v>
      </c>
      <c r="N700">
        <v>3.0835080000000001</v>
      </c>
      <c r="O700" t="s">
        <v>42</v>
      </c>
      <c r="P700" t="s">
        <v>23</v>
      </c>
      <c r="Q700" s="49">
        <v>42389</v>
      </c>
      <c r="R700" s="49" t="str">
        <f>DataTable[HLD_Portfolio]&amp;DataTable[HLD_Date]</f>
        <v>SCBFPFUND43381</v>
      </c>
    </row>
    <row r="701" spans="1:18" x14ac:dyDescent="0.2">
      <c r="A701" s="49">
        <v>43381</v>
      </c>
      <c r="B701" t="s">
        <v>383</v>
      </c>
      <c r="C701" t="s">
        <v>18</v>
      </c>
      <c r="D701" t="s">
        <v>112</v>
      </c>
      <c r="F701" t="s">
        <v>744</v>
      </c>
      <c r="G701" t="s">
        <v>202</v>
      </c>
      <c r="H701" t="s">
        <v>51</v>
      </c>
      <c r="I701" s="49">
        <v>45122</v>
      </c>
      <c r="J701" s="47">
        <v>19999449.199999999</v>
      </c>
      <c r="K701">
        <v>145611</v>
      </c>
      <c r="L701">
        <v>20000000</v>
      </c>
      <c r="M701">
        <v>4.3722240000000001</v>
      </c>
      <c r="N701">
        <v>3.09</v>
      </c>
      <c r="O701" t="s">
        <v>42</v>
      </c>
      <c r="P701" t="s">
        <v>23</v>
      </c>
      <c r="Q701" s="49">
        <v>42566</v>
      </c>
      <c r="R701" s="49" t="str">
        <f>DataTable[HLD_Portfolio]&amp;DataTable[HLD_Date]</f>
        <v>SCBFPFUND43381</v>
      </c>
    </row>
    <row r="702" spans="1:18" x14ac:dyDescent="0.2">
      <c r="A702" s="49">
        <v>43381</v>
      </c>
      <c r="B702" t="s">
        <v>383</v>
      </c>
      <c r="C702" t="s">
        <v>18</v>
      </c>
      <c r="D702" t="s">
        <v>112</v>
      </c>
      <c r="F702" t="s">
        <v>745</v>
      </c>
      <c r="G702" t="s">
        <v>205</v>
      </c>
      <c r="H702" t="s">
        <v>206</v>
      </c>
      <c r="I702" s="49">
        <v>43776</v>
      </c>
      <c r="J702" s="47">
        <v>304807395</v>
      </c>
      <c r="K702">
        <v>4637259</v>
      </c>
      <c r="L702">
        <v>300563583</v>
      </c>
      <c r="M702">
        <v>1.0421</v>
      </c>
      <c r="N702">
        <v>3.4449999999999998</v>
      </c>
      <c r="O702" t="s">
        <v>42</v>
      </c>
      <c r="P702" t="s">
        <v>23</v>
      </c>
      <c r="Q702" s="49">
        <v>41950</v>
      </c>
      <c r="R702" s="49" t="str">
        <f>DataTable[HLD_Portfolio]&amp;DataTable[HLD_Date]</f>
        <v>SCBFPFUND43381</v>
      </c>
    </row>
    <row r="703" spans="1:18" x14ac:dyDescent="0.2">
      <c r="A703" s="49">
        <v>43381</v>
      </c>
      <c r="B703" t="s">
        <v>383</v>
      </c>
      <c r="C703" t="s">
        <v>18</v>
      </c>
      <c r="D703" t="s">
        <v>112</v>
      </c>
      <c r="F703" t="s">
        <v>746</v>
      </c>
      <c r="G703" t="s">
        <v>205</v>
      </c>
      <c r="H703" t="s">
        <v>206</v>
      </c>
      <c r="I703" s="49">
        <v>44181</v>
      </c>
      <c r="J703" s="47">
        <v>50095038</v>
      </c>
      <c r="K703">
        <v>442671</v>
      </c>
      <c r="L703">
        <v>50000000</v>
      </c>
      <c r="M703">
        <v>2.08968</v>
      </c>
      <c r="N703">
        <v>2.81</v>
      </c>
      <c r="O703" t="s">
        <v>42</v>
      </c>
      <c r="P703" t="s">
        <v>23</v>
      </c>
      <c r="Q703" s="49">
        <v>42354</v>
      </c>
      <c r="R703" s="49" t="str">
        <f>DataTable[HLD_Portfolio]&amp;DataTable[HLD_Date]</f>
        <v>SCBFPFUND43381</v>
      </c>
    </row>
    <row r="704" spans="1:18" x14ac:dyDescent="0.2">
      <c r="A704" s="49">
        <v>43381</v>
      </c>
      <c r="B704" t="s">
        <v>383</v>
      </c>
      <c r="C704" t="s">
        <v>18</v>
      </c>
      <c r="D704" t="s">
        <v>112</v>
      </c>
      <c r="F704" t="s">
        <v>747</v>
      </c>
      <c r="G704" t="s">
        <v>749</v>
      </c>
      <c r="H704" t="s">
        <v>748</v>
      </c>
      <c r="I704" s="49">
        <v>44041</v>
      </c>
      <c r="J704" s="47">
        <v>60613611.600000001</v>
      </c>
      <c r="K704">
        <v>345600</v>
      </c>
      <c r="L704">
        <v>60087123</v>
      </c>
      <c r="M704">
        <v>1.7440469999999999</v>
      </c>
      <c r="N704">
        <v>2.8287499999999999</v>
      </c>
      <c r="O704" t="s">
        <v>42</v>
      </c>
      <c r="P704" t="s">
        <v>23</v>
      </c>
      <c r="Q704" s="49">
        <v>42214</v>
      </c>
      <c r="R704" s="49" t="str">
        <f>DataTable[HLD_Portfolio]&amp;DataTable[HLD_Date]</f>
        <v>SCBFPFUND43381</v>
      </c>
    </row>
    <row r="705" spans="1:18" x14ac:dyDescent="0.2">
      <c r="A705" s="49">
        <v>43381</v>
      </c>
      <c r="B705" t="s">
        <v>383</v>
      </c>
      <c r="C705" t="s">
        <v>18</v>
      </c>
      <c r="D705" t="s">
        <v>112</v>
      </c>
      <c r="F705" t="s">
        <v>750</v>
      </c>
      <c r="G705" t="s">
        <v>751</v>
      </c>
      <c r="H705" t="s">
        <v>41</v>
      </c>
      <c r="I705" s="49">
        <v>43746</v>
      </c>
      <c r="J705" s="47">
        <v>15413777.550000001</v>
      </c>
      <c r="K705">
        <v>1960.2</v>
      </c>
      <c r="L705">
        <v>15257331</v>
      </c>
      <c r="M705">
        <v>0.97481700000000004</v>
      </c>
      <c r="N705">
        <v>3.0150000000000001</v>
      </c>
      <c r="O705" t="s">
        <v>42</v>
      </c>
      <c r="P705" t="s">
        <v>23</v>
      </c>
      <c r="Q705" s="49">
        <v>40276</v>
      </c>
      <c r="R705" s="49" t="str">
        <f>DataTable[HLD_Portfolio]&amp;DataTable[HLD_Date]</f>
        <v>SCBFPFUND43381</v>
      </c>
    </row>
    <row r="706" spans="1:18" x14ac:dyDescent="0.2">
      <c r="A706" s="49">
        <v>43381</v>
      </c>
      <c r="B706" t="s">
        <v>383</v>
      </c>
      <c r="C706" t="s">
        <v>18</v>
      </c>
      <c r="D706" t="s">
        <v>112</v>
      </c>
      <c r="F706" t="s">
        <v>569</v>
      </c>
      <c r="G706" t="s">
        <v>571</v>
      </c>
      <c r="H706" t="s">
        <v>570</v>
      </c>
      <c r="I706" s="49">
        <v>44468</v>
      </c>
      <c r="J706" s="47">
        <v>135964826.63</v>
      </c>
      <c r="K706">
        <v>82950.759999999995</v>
      </c>
      <c r="L706">
        <v>137000000</v>
      </c>
      <c r="M706">
        <v>2.851985</v>
      </c>
      <c r="N706">
        <v>2.21</v>
      </c>
      <c r="O706" t="s">
        <v>42</v>
      </c>
      <c r="P706" t="s">
        <v>23</v>
      </c>
      <c r="Q706" s="49">
        <v>43007</v>
      </c>
      <c r="R706" s="49" t="str">
        <f>DataTable[HLD_Portfolio]&amp;DataTable[HLD_Date]</f>
        <v>SCBFPFUND43381</v>
      </c>
    </row>
    <row r="707" spans="1:18" x14ac:dyDescent="0.2">
      <c r="A707" s="49">
        <v>43381</v>
      </c>
      <c r="B707" t="s">
        <v>383</v>
      </c>
      <c r="C707" t="s">
        <v>18</v>
      </c>
      <c r="D707" t="s">
        <v>112</v>
      </c>
      <c r="F707" t="s">
        <v>752</v>
      </c>
      <c r="G707" t="s">
        <v>753</v>
      </c>
      <c r="H707" t="s">
        <v>51</v>
      </c>
      <c r="I707" s="49">
        <v>43682</v>
      </c>
      <c r="J707" s="47">
        <v>299352831.95999998</v>
      </c>
      <c r="K707">
        <v>1118179.27</v>
      </c>
      <c r="L707">
        <v>299261260.22000003</v>
      </c>
      <c r="M707">
        <v>0.81293700000000002</v>
      </c>
      <c r="N707">
        <v>1.9808030000000001</v>
      </c>
      <c r="O707" t="s">
        <v>42</v>
      </c>
      <c r="P707" t="s">
        <v>23</v>
      </c>
      <c r="Q707" s="49">
        <v>42587</v>
      </c>
      <c r="R707" s="49" t="str">
        <f>DataTable[HLD_Portfolio]&amp;DataTable[HLD_Date]</f>
        <v>SCBFPFUND43381</v>
      </c>
    </row>
    <row r="708" spans="1:18" x14ac:dyDescent="0.2">
      <c r="A708" s="49">
        <v>43381</v>
      </c>
      <c r="B708" t="s">
        <v>383</v>
      </c>
      <c r="C708" t="s">
        <v>18</v>
      </c>
      <c r="D708" t="s">
        <v>112</v>
      </c>
      <c r="F708" t="s">
        <v>754</v>
      </c>
      <c r="G708" t="s">
        <v>753</v>
      </c>
      <c r="H708" t="s">
        <v>51</v>
      </c>
      <c r="I708" s="49">
        <v>43825</v>
      </c>
      <c r="J708" s="47">
        <v>69084825.079999998</v>
      </c>
      <c r="K708">
        <v>678788.92</v>
      </c>
      <c r="L708">
        <v>68656553.599999994</v>
      </c>
      <c r="M708">
        <v>1.1760349999999999</v>
      </c>
      <c r="N708">
        <v>2.65</v>
      </c>
      <c r="O708" t="s">
        <v>42</v>
      </c>
      <c r="P708" t="s">
        <v>23</v>
      </c>
      <c r="Q708" s="49">
        <v>41999</v>
      </c>
      <c r="R708" s="49" t="str">
        <f>DataTable[HLD_Portfolio]&amp;DataTable[HLD_Date]</f>
        <v>SCBFPFUND43381</v>
      </c>
    </row>
    <row r="709" spans="1:18" x14ac:dyDescent="0.2">
      <c r="A709" s="49">
        <v>43381</v>
      </c>
      <c r="B709" t="s">
        <v>383</v>
      </c>
      <c r="C709" t="s">
        <v>18</v>
      </c>
      <c r="D709" t="s">
        <v>112</v>
      </c>
      <c r="F709" t="s">
        <v>755</v>
      </c>
      <c r="G709" t="s">
        <v>577</v>
      </c>
      <c r="H709" t="s">
        <v>41</v>
      </c>
      <c r="I709" s="49">
        <v>44355</v>
      </c>
      <c r="J709" s="47">
        <v>146286891.12</v>
      </c>
      <c r="K709">
        <v>1152088.24</v>
      </c>
      <c r="L709">
        <v>148000000</v>
      </c>
      <c r="M709">
        <v>2.544244</v>
      </c>
      <c r="N709">
        <v>2.31</v>
      </c>
      <c r="O709" t="s">
        <v>42</v>
      </c>
      <c r="P709" t="s">
        <v>23</v>
      </c>
      <c r="Q709" s="49">
        <v>43259</v>
      </c>
      <c r="R709" s="49" t="str">
        <f>DataTable[HLD_Portfolio]&amp;DataTable[HLD_Date]</f>
        <v>SCBFPFUND43381</v>
      </c>
    </row>
    <row r="710" spans="1:18" x14ac:dyDescent="0.2">
      <c r="A710" s="49">
        <v>43381</v>
      </c>
      <c r="B710" t="s">
        <v>383</v>
      </c>
      <c r="C710" t="s">
        <v>18</v>
      </c>
      <c r="D710" t="s">
        <v>112</v>
      </c>
      <c r="F710" t="s">
        <v>756</v>
      </c>
      <c r="G710" t="s">
        <v>619</v>
      </c>
      <c r="H710" t="s">
        <v>47</v>
      </c>
      <c r="I710" s="49">
        <v>44319</v>
      </c>
      <c r="J710" s="47">
        <v>1088781738</v>
      </c>
      <c r="K710">
        <v>10302325</v>
      </c>
      <c r="L710">
        <v>1100000000</v>
      </c>
      <c r="M710">
        <v>2.4578389999999999</v>
      </c>
      <c r="N710">
        <v>2.15</v>
      </c>
      <c r="O710" t="s">
        <v>42</v>
      </c>
      <c r="P710" t="s">
        <v>23</v>
      </c>
      <c r="Q710" s="49">
        <v>43223</v>
      </c>
      <c r="R710" s="49" t="str">
        <f>DataTable[HLD_Portfolio]&amp;DataTable[HLD_Date]</f>
        <v>SCBFPFUND43381</v>
      </c>
    </row>
    <row r="711" spans="1:18" x14ac:dyDescent="0.2">
      <c r="A711" s="49">
        <v>43381</v>
      </c>
      <c r="B711" t="s">
        <v>383</v>
      </c>
      <c r="C711" t="s">
        <v>18</v>
      </c>
      <c r="D711" t="s">
        <v>112</v>
      </c>
      <c r="F711" t="s">
        <v>757</v>
      </c>
      <c r="G711" t="s">
        <v>621</v>
      </c>
      <c r="H711" t="s">
        <v>51</v>
      </c>
      <c r="I711" s="49">
        <v>43766</v>
      </c>
      <c r="J711" s="47">
        <v>28976521.890000001</v>
      </c>
      <c r="K711">
        <v>290572.17</v>
      </c>
      <c r="L711">
        <v>29146485.379999999</v>
      </c>
      <c r="M711">
        <v>1.0237670000000001</v>
      </c>
      <c r="N711">
        <v>1.74</v>
      </c>
      <c r="O711" t="s">
        <v>42</v>
      </c>
      <c r="P711" t="s">
        <v>23</v>
      </c>
      <c r="Q711" s="49">
        <v>42671</v>
      </c>
      <c r="R711" s="49" t="str">
        <f>DataTable[HLD_Portfolio]&amp;DataTable[HLD_Date]</f>
        <v>SCBFPFUND43381</v>
      </c>
    </row>
    <row r="712" spans="1:18" x14ac:dyDescent="0.2">
      <c r="A712" s="49">
        <v>43381</v>
      </c>
      <c r="B712" t="s">
        <v>383</v>
      </c>
      <c r="C712" t="s">
        <v>18</v>
      </c>
      <c r="D712" t="s">
        <v>112</v>
      </c>
      <c r="F712" t="s">
        <v>758</v>
      </c>
      <c r="G712" t="s">
        <v>621</v>
      </c>
      <c r="H712" t="s">
        <v>51</v>
      </c>
      <c r="I712" s="49">
        <v>43923</v>
      </c>
      <c r="J712" s="47">
        <v>20217851</v>
      </c>
      <c r="K712">
        <v>12695.8</v>
      </c>
      <c r="L712">
        <v>20124504.600000001</v>
      </c>
      <c r="M712">
        <v>1.4369320000000001</v>
      </c>
      <c r="N712">
        <v>2.88</v>
      </c>
      <c r="O712" t="s">
        <v>42</v>
      </c>
      <c r="P712" t="s">
        <v>23</v>
      </c>
      <c r="Q712" s="49">
        <v>42096</v>
      </c>
      <c r="R712" s="49" t="str">
        <f>DataTable[HLD_Portfolio]&amp;DataTable[HLD_Date]</f>
        <v>SCBFPFUND43381</v>
      </c>
    </row>
    <row r="713" spans="1:18" x14ac:dyDescent="0.2">
      <c r="A713" s="49">
        <v>43381</v>
      </c>
      <c r="B713" t="s">
        <v>383</v>
      </c>
      <c r="C713" t="s">
        <v>18</v>
      </c>
      <c r="D713" t="s">
        <v>112</v>
      </c>
      <c r="F713" t="s">
        <v>759</v>
      </c>
      <c r="G713" t="s">
        <v>621</v>
      </c>
      <c r="H713" t="s">
        <v>51</v>
      </c>
      <c r="I713" s="49">
        <v>43949</v>
      </c>
      <c r="J713" s="47">
        <v>129954917.3</v>
      </c>
      <c r="K713">
        <v>1448591.3</v>
      </c>
      <c r="L713">
        <v>130000000</v>
      </c>
      <c r="M713">
        <v>1.4968889999999999</v>
      </c>
      <c r="N713">
        <v>2.48</v>
      </c>
      <c r="O713" t="s">
        <v>42</v>
      </c>
      <c r="P713" t="s">
        <v>23</v>
      </c>
      <c r="Q713" s="49">
        <v>42853</v>
      </c>
      <c r="R713" s="49" t="str">
        <f>DataTable[HLD_Portfolio]&amp;DataTable[HLD_Date]</f>
        <v>SCBFPFUND43381</v>
      </c>
    </row>
    <row r="714" spans="1:18" x14ac:dyDescent="0.2">
      <c r="A714" s="49">
        <v>43381</v>
      </c>
      <c r="B714" t="s">
        <v>383</v>
      </c>
      <c r="C714" t="s">
        <v>18</v>
      </c>
      <c r="D714" t="s">
        <v>112</v>
      </c>
      <c r="F714" t="s">
        <v>760</v>
      </c>
      <c r="G714" t="s">
        <v>621</v>
      </c>
      <c r="H714" t="s">
        <v>51</v>
      </c>
      <c r="I714" s="49">
        <v>44112</v>
      </c>
      <c r="J714" s="47">
        <v>126993067.91</v>
      </c>
      <c r="K714">
        <v>10362.879999999999</v>
      </c>
      <c r="L714">
        <v>127708866.89</v>
      </c>
      <c r="M714">
        <v>1.9253720000000001</v>
      </c>
      <c r="N714">
        <v>2.4982609999999998</v>
      </c>
      <c r="O714" t="s">
        <v>42</v>
      </c>
      <c r="P714" t="s">
        <v>23</v>
      </c>
      <c r="Q714" s="49">
        <v>42285</v>
      </c>
      <c r="R714" s="49" t="str">
        <f>DataTable[HLD_Portfolio]&amp;DataTable[HLD_Date]</f>
        <v>SCBFPFUND43381</v>
      </c>
    </row>
    <row r="715" spans="1:18" x14ac:dyDescent="0.2">
      <c r="A715" s="49">
        <v>43381</v>
      </c>
      <c r="B715" t="s">
        <v>383</v>
      </c>
      <c r="C715" t="s">
        <v>18</v>
      </c>
      <c r="D715" t="s">
        <v>112</v>
      </c>
      <c r="F715" t="s">
        <v>761</v>
      </c>
      <c r="G715" t="s">
        <v>621</v>
      </c>
      <c r="H715" t="s">
        <v>51</v>
      </c>
      <c r="I715" s="49">
        <v>44109</v>
      </c>
      <c r="J715" s="47">
        <v>143190694.34999999</v>
      </c>
      <c r="K715">
        <v>33845.9</v>
      </c>
      <c r="L715">
        <v>145172605.09999999</v>
      </c>
      <c r="M715">
        <v>1.929222</v>
      </c>
      <c r="N715">
        <v>2.0699999999999998</v>
      </c>
      <c r="O715" t="s">
        <v>42</v>
      </c>
      <c r="P715" t="s">
        <v>23</v>
      </c>
      <c r="Q715" s="49">
        <v>43013</v>
      </c>
      <c r="R715" s="49" t="str">
        <f>DataTable[HLD_Portfolio]&amp;DataTable[HLD_Date]</f>
        <v>SCBFPFUND43381</v>
      </c>
    </row>
    <row r="716" spans="1:18" x14ac:dyDescent="0.2">
      <c r="A716" s="49">
        <v>43381</v>
      </c>
      <c r="B716" t="s">
        <v>383</v>
      </c>
      <c r="C716" t="s">
        <v>18</v>
      </c>
      <c r="D716" t="s">
        <v>112</v>
      </c>
      <c r="F716" t="s">
        <v>762</v>
      </c>
      <c r="G716" t="s">
        <v>763</v>
      </c>
      <c r="H716" t="s">
        <v>47</v>
      </c>
      <c r="I716" s="49">
        <v>46079</v>
      </c>
      <c r="J716" s="47">
        <v>382309697</v>
      </c>
      <c r="K716">
        <v>1635352.8</v>
      </c>
      <c r="L716">
        <v>380000000</v>
      </c>
      <c r="M716">
        <v>6.4210900000000004</v>
      </c>
      <c r="N716">
        <v>3.57</v>
      </c>
      <c r="O716" t="s">
        <v>42</v>
      </c>
      <c r="P716" t="s">
        <v>23</v>
      </c>
      <c r="Q716" s="49">
        <v>42426</v>
      </c>
      <c r="R716" s="49" t="str">
        <f>DataTable[HLD_Portfolio]&amp;DataTable[HLD_Date]</f>
        <v>SCBFPFUND43381</v>
      </c>
    </row>
    <row r="717" spans="1:18" x14ac:dyDescent="0.2">
      <c r="A717" s="49">
        <v>43381</v>
      </c>
      <c r="B717" t="s">
        <v>383</v>
      </c>
      <c r="C717" t="s">
        <v>18</v>
      </c>
      <c r="D717" t="s">
        <v>112</v>
      </c>
      <c r="F717" t="s">
        <v>680</v>
      </c>
      <c r="G717" t="s">
        <v>625</v>
      </c>
      <c r="H717" t="s">
        <v>47</v>
      </c>
      <c r="I717" s="49">
        <v>43973</v>
      </c>
      <c r="J717" s="47">
        <v>207126819.65000001</v>
      </c>
      <c r="K717">
        <v>2398219.15</v>
      </c>
      <c r="L717">
        <v>205073250.59999999</v>
      </c>
      <c r="M717">
        <v>1.5576909999999999</v>
      </c>
      <c r="N717">
        <v>3.017925</v>
      </c>
      <c r="O717" t="s">
        <v>42</v>
      </c>
      <c r="P717" t="s">
        <v>23</v>
      </c>
      <c r="Q717" s="49">
        <v>42146</v>
      </c>
      <c r="R717" s="49" t="str">
        <f>DataTable[HLD_Portfolio]&amp;DataTable[HLD_Date]</f>
        <v>SCBFPFUND43381</v>
      </c>
    </row>
    <row r="718" spans="1:18" x14ac:dyDescent="0.2">
      <c r="A718" s="49">
        <v>43381</v>
      </c>
      <c r="B718" t="s">
        <v>383</v>
      </c>
      <c r="C718" t="s">
        <v>18</v>
      </c>
      <c r="D718" t="s">
        <v>112</v>
      </c>
      <c r="F718" t="s">
        <v>681</v>
      </c>
      <c r="G718" t="s">
        <v>625</v>
      </c>
      <c r="H718" t="s">
        <v>47</v>
      </c>
      <c r="I718" s="49">
        <v>44270</v>
      </c>
      <c r="J718" s="47">
        <v>193369441.19999999</v>
      </c>
      <c r="K718">
        <v>291057</v>
      </c>
      <c r="L718">
        <v>194361708.44999999</v>
      </c>
      <c r="M718">
        <v>2.3435320000000002</v>
      </c>
      <c r="N718">
        <v>2.413122</v>
      </c>
      <c r="O718" t="s">
        <v>42</v>
      </c>
      <c r="P718" t="s">
        <v>23</v>
      </c>
      <c r="Q718" s="49">
        <v>42444</v>
      </c>
      <c r="R718" s="49" t="str">
        <f>DataTable[HLD_Portfolio]&amp;DataTable[HLD_Date]</f>
        <v>SCBFPFUND43381</v>
      </c>
    </row>
    <row r="719" spans="1:18" x14ac:dyDescent="0.2">
      <c r="A719" s="49">
        <v>43381</v>
      </c>
      <c r="B719" t="s">
        <v>383</v>
      </c>
      <c r="C719" t="s">
        <v>18</v>
      </c>
      <c r="D719" t="s">
        <v>112</v>
      </c>
      <c r="F719" t="s">
        <v>764</v>
      </c>
      <c r="G719" t="s">
        <v>81</v>
      </c>
      <c r="H719" t="s">
        <v>51</v>
      </c>
      <c r="I719" s="49">
        <v>43734</v>
      </c>
      <c r="J719" s="47">
        <v>104199275.75</v>
      </c>
      <c r="K719">
        <v>142011.70000000001</v>
      </c>
      <c r="L719">
        <v>103708445.28</v>
      </c>
      <c r="M719">
        <v>0.94069000000000003</v>
      </c>
      <c r="N719">
        <v>2.6543899999999998</v>
      </c>
      <c r="O719" t="s">
        <v>42</v>
      </c>
      <c r="P719" t="s">
        <v>23</v>
      </c>
      <c r="Q719" s="49">
        <v>41908</v>
      </c>
      <c r="R719" s="49" t="str">
        <f>DataTable[HLD_Portfolio]&amp;DataTable[HLD_Date]</f>
        <v>SCBFPFUND43381</v>
      </c>
    </row>
    <row r="720" spans="1:18" x14ac:dyDescent="0.2">
      <c r="A720" s="49">
        <v>43381</v>
      </c>
      <c r="B720" t="s">
        <v>383</v>
      </c>
      <c r="C720" t="s">
        <v>18</v>
      </c>
      <c r="D720" t="s">
        <v>112</v>
      </c>
      <c r="F720" t="s">
        <v>765</v>
      </c>
      <c r="G720" t="s">
        <v>81</v>
      </c>
      <c r="H720" t="s">
        <v>51</v>
      </c>
      <c r="I720" s="49">
        <v>43769</v>
      </c>
      <c r="J720" s="47">
        <v>493592515.19999999</v>
      </c>
      <c r="K720">
        <v>10439016</v>
      </c>
      <c r="L720">
        <v>489148550.39999998</v>
      </c>
      <c r="M720">
        <v>1.014473</v>
      </c>
      <c r="N720">
        <v>3.0383330000000002</v>
      </c>
      <c r="O720" t="s">
        <v>42</v>
      </c>
      <c r="P720" t="s">
        <v>23</v>
      </c>
      <c r="Q720" s="49">
        <v>41046</v>
      </c>
      <c r="R720" s="49" t="str">
        <f>DataTable[HLD_Portfolio]&amp;DataTable[HLD_Date]</f>
        <v>SCBFPFUND43381</v>
      </c>
    </row>
    <row r="721" spans="1:18" x14ac:dyDescent="0.2">
      <c r="A721" s="49">
        <v>43381</v>
      </c>
      <c r="B721" t="s">
        <v>383</v>
      </c>
      <c r="C721" t="s">
        <v>18</v>
      </c>
      <c r="D721" t="s">
        <v>112</v>
      </c>
      <c r="F721" t="s">
        <v>766</v>
      </c>
      <c r="G721" t="s">
        <v>81</v>
      </c>
      <c r="H721" t="s">
        <v>51</v>
      </c>
      <c r="I721" s="49">
        <v>44085</v>
      </c>
      <c r="J721" s="47">
        <v>201972426</v>
      </c>
      <c r="K721">
        <v>452602</v>
      </c>
      <c r="L721">
        <v>200132552</v>
      </c>
      <c r="M721">
        <v>1.8537490000000001</v>
      </c>
      <c r="N721">
        <v>2.92</v>
      </c>
      <c r="O721" t="s">
        <v>42</v>
      </c>
      <c r="P721" t="s">
        <v>23</v>
      </c>
      <c r="Q721" s="49">
        <v>42258</v>
      </c>
      <c r="R721" s="49" t="str">
        <f>DataTable[HLD_Portfolio]&amp;DataTable[HLD_Date]</f>
        <v>SCBFPFUND43381</v>
      </c>
    </row>
    <row r="722" spans="1:18" x14ac:dyDescent="0.2">
      <c r="A722" s="49">
        <v>43381</v>
      </c>
      <c r="B722" t="s">
        <v>383</v>
      </c>
      <c r="C722" t="s">
        <v>18</v>
      </c>
      <c r="D722" t="s">
        <v>112</v>
      </c>
      <c r="F722" t="s">
        <v>767</v>
      </c>
      <c r="G722" t="s">
        <v>81</v>
      </c>
      <c r="H722" t="s">
        <v>51</v>
      </c>
      <c r="I722" s="49">
        <v>44135</v>
      </c>
      <c r="J722" s="47">
        <v>21104881.800000001</v>
      </c>
      <c r="K722">
        <v>470465.8</v>
      </c>
      <c r="L722">
        <v>20846514.199999999</v>
      </c>
      <c r="M722">
        <v>1.9150229999999999</v>
      </c>
      <c r="N722">
        <v>3.15</v>
      </c>
      <c r="O722" t="s">
        <v>42</v>
      </c>
      <c r="P722" t="s">
        <v>23</v>
      </c>
      <c r="Q722" s="49">
        <v>40998</v>
      </c>
      <c r="R722" s="49" t="str">
        <f>DataTable[HLD_Portfolio]&amp;DataTable[HLD_Date]</f>
        <v>SCBFPFUND43381</v>
      </c>
    </row>
    <row r="723" spans="1:18" x14ac:dyDescent="0.2">
      <c r="A723" s="49">
        <v>43381</v>
      </c>
      <c r="B723" t="s">
        <v>383</v>
      </c>
      <c r="C723" t="s">
        <v>18</v>
      </c>
      <c r="D723" t="s">
        <v>112</v>
      </c>
      <c r="F723" t="s">
        <v>768</v>
      </c>
      <c r="G723" t="s">
        <v>81</v>
      </c>
      <c r="H723" t="s">
        <v>51</v>
      </c>
      <c r="I723" s="49">
        <v>44121</v>
      </c>
      <c r="J723" s="47">
        <v>20991641</v>
      </c>
      <c r="K723">
        <v>481369.94</v>
      </c>
      <c r="L723">
        <v>20673664.199999999</v>
      </c>
      <c r="M723">
        <v>1.9275960000000001</v>
      </c>
      <c r="N723">
        <v>3.2850000000000001</v>
      </c>
      <c r="O723" t="s">
        <v>42</v>
      </c>
      <c r="P723" t="s">
        <v>23</v>
      </c>
      <c r="Q723" s="49">
        <v>41564</v>
      </c>
      <c r="R723" s="49" t="str">
        <f>DataTable[HLD_Portfolio]&amp;DataTable[HLD_Date]</f>
        <v>SCBFPFUND43381</v>
      </c>
    </row>
    <row r="724" spans="1:18" x14ac:dyDescent="0.2">
      <c r="A724" s="49">
        <v>43381</v>
      </c>
      <c r="B724" t="s">
        <v>383</v>
      </c>
      <c r="C724" t="s">
        <v>18</v>
      </c>
      <c r="D724" t="s">
        <v>112</v>
      </c>
      <c r="F724" t="s">
        <v>578</v>
      </c>
      <c r="G724" t="s">
        <v>579</v>
      </c>
      <c r="H724" t="s">
        <v>47</v>
      </c>
      <c r="I724" s="49">
        <v>43813</v>
      </c>
      <c r="J724" s="47">
        <v>22957133.52</v>
      </c>
      <c r="K724">
        <v>145977.54999999999</v>
      </c>
      <c r="L724">
        <v>23000000</v>
      </c>
      <c r="M724">
        <v>1.1538170000000001</v>
      </c>
      <c r="N724">
        <v>1.98</v>
      </c>
      <c r="O724" t="s">
        <v>42</v>
      </c>
      <c r="P724" t="s">
        <v>23</v>
      </c>
      <c r="Q724" s="49">
        <v>43083</v>
      </c>
      <c r="R724" s="49" t="str">
        <f>DataTable[HLD_Portfolio]&amp;DataTable[HLD_Date]</f>
        <v>SCBFPFUND43381</v>
      </c>
    </row>
    <row r="725" spans="1:18" x14ac:dyDescent="0.2">
      <c r="A725" s="49">
        <v>43381</v>
      </c>
      <c r="B725" t="s">
        <v>383</v>
      </c>
      <c r="C725" t="s">
        <v>18</v>
      </c>
      <c r="D725" t="s">
        <v>112</v>
      </c>
      <c r="F725" t="s">
        <v>630</v>
      </c>
      <c r="G725" t="s">
        <v>231</v>
      </c>
      <c r="H725" t="s">
        <v>47</v>
      </c>
      <c r="I725" s="49">
        <v>43798</v>
      </c>
      <c r="J725" s="47">
        <v>100536557</v>
      </c>
      <c r="K725">
        <v>482767</v>
      </c>
      <c r="L725">
        <v>100986424</v>
      </c>
      <c r="M725">
        <v>1.117729</v>
      </c>
      <c r="N725">
        <v>1.75</v>
      </c>
      <c r="O725" t="s">
        <v>42</v>
      </c>
      <c r="P725" t="s">
        <v>23</v>
      </c>
      <c r="Q725" s="49">
        <v>42769</v>
      </c>
      <c r="R725" s="49" t="str">
        <f>DataTable[HLD_Portfolio]&amp;DataTable[HLD_Date]</f>
        <v>SCBFPFUND43381</v>
      </c>
    </row>
    <row r="726" spans="1:18" x14ac:dyDescent="0.2">
      <c r="A726" s="49">
        <v>43381</v>
      </c>
      <c r="B726" t="s">
        <v>383</v>
      </c>
      <c r="C726" t="s">
        <v>18</v>
      </c>
      <c r="D726" t="s">
        <v>112</v>
      </c>
      <c r="F726" t="s">
        <v>580</v>
      </c>
      <c r="G726" t="s">
        <v>231</v>
      </c>
      <c r="H726" t="s">
        <v>47</v>
      </c>
      <c r="I726" s="49">
        <v>44155</v>
      </c>
      <c r="J726" s="47">
        <v>85213747.799999997</v>
      </c>
      <c r="K726">
        <v>713161.9</v>
      </c>
      <c r="L726">
        <v>85112732.099999994</v>
      </c>
      <c r="M726">
        <v>2.0301480000000001</v>
      </c>
      <c r="N726">
        <v>2.5729410000000001</v>
      </c>
      <c r="O726" t="s">
        <v>42</v>
      </c>
      <c r="P726" t="s">
        <v>23</v>
      </c>
      <c r="Q726" s="49">
        <v>42901</v>
      </c>
      <c r="R726" s="49" t="str">
        <f>DataTable[HLD_Portfolio]&amp;DataTable[HLD_Date]</f>
        <v>SCBFPFUND43381</v>
      </c>
    </row>
    <row r="727" spans="1:18" x14ac:dyDescent="0.2">
      <c r="A727" s="49">
        <v>43381</v>
      </c>
      <c r="B727" t="s">
        <v>383</v>
      </c>
      <c r="C727" t="s">
        <v>18</v>
      </c>
      <c r="D727" t="s">
        <v>112</v>
      </c>
      <c r="F727" t="s">
        <v>769</v>
      </c>
      <c r="G727" t="s">
        <v>231</v>
      </c>
      <c r="H727" t="s">
        <v>47</v>
      </c>
      <c r="I727" s="49">
        <v>44274</v>
      </c>
      <c r="J727" s="47">
        <v>99332606</v>
      </c>
      <c r="K727">
        <v>124384</v>
      </c>
      <c r="L727">
        <v>100000000</v>
      </c>
      <c r="M727">
        <v>2.3552629999999999</v>
      </c>
      <c r="N727">
        <v>2.27</v>
      </c>
      <c r="O727" t="s">
        <v>42</v>
      </c>
      <c r="P727" t="s">
        <v>23</v>
      </c>
      <c r="Q727" s="49">
        <v>42997</v>
      </c>
      <c r="R727" s="49" t="str">
        <f>DataTable[HLD_Portfolio]&amp;DataTable[HLD_Date]</f>
        <v>SCBFPFUND43381</v>
      </c>
    </row>
    <row r="728" spans="1:18" x14ac:dyDescent="0.2">
      <c r="A728" s="49">
        <v>43381</v>
      </c>
      <c r="B728" t="s">
        <v>383</v>
      </c>
      <c r="C728" t="s">
        <v>18</v>
      </c>
      <c r="D728" t="s">
        <v>112</v>
      </c>
      <c r="F728" t="s">
        <v>770</v>
      </c>
      <c r="G728" t="s">
        <v>771</v>
      </c>
      <c r="H728" t="s">
        <v>47</v>
      </c>
      <c r="I728" s="49">
        <v>44347</v>
      </c>
      <c r="J728" s="47">
        <v>1111960337.5999999</v>
      </c>
      <c r="K728">
        <v>9526753.5999999996</v>
      </c>
      <c r="L728">
        <v>1119476534.4000001</v>
      </c>
      <c r="M728">
        <v>2.522135</v>
      </c>
      <c r="N728">
        <v>2.3865180000000001</v>
      </c>
      <c r="O728" t="s">
        <v>42</v>
      </c>
      <c r="P728" t="s">
        <v>23</v>
      </c>
      <c r="Q728" s="49">
        <v>43251</v>
      </c>
      <c r="R728" s="49" t="str">
        <f>DataTable[HLD_Portfolio]&amp;DataTable[HLD_Date]</f>
        <v>SCBFPFUND43381</v>
      </c>
    </row>
    <row r="729" spans="1:18" x14ac:dyDescent="0.2">
      <c r="A729" s="49">
        <v>43381</v>
      </c>
      <c r="B729" t="s">
        <v>383</v>
      </c>
      <c r="C729" t="s">
        <v>18</v>
      </c>
      <c r="D729" t="s">
        <v>112</v>
      </c>
      <c r="F729" t="s">
        <v>772</v>
      </c>
      <c r="G729" t="s">
        <v>632</v>
      </c>
      <c r="H729" t="s">
        <v>59</v>
      </c>
      <c r="I729" s="49">
        <v>43605</v>
      </c>
      <c r="J729" s="47">
        <v>30749048.399999999</v>
      </c>
      <c r="K729">
        <v>688602.6</v>
      </c>
      <c r="L729">
        <v>30657000.600000001</v>
      </c>
      <c r="M729">
        <v>0.59578699999999996</v>
      </c>
      <c r="N729">
        <v>2.25</v>
      </c>
      <c r="O729" t="s">
        <v>42</v>
      </c>
      <c r="P729" t="s">
        <v>23</v>
      </c>
      <c r="Q729" s="49">
        <v>38127</v>
      </c>
      <c r="R729" s="49" t="str">
        <f>DataTable[HLD_Portfolio]&amp;DataTable[HLD_Date]</f>
        <v>SCBFPFUND43381</v>
      </c>
    </row>
    <row r="730" spans="1:18" x14ac:dyDescent="0.2">
      <c r="A730" s="49">
        <v>43381</v>
      </c>
      <c r="B730" t="s">
        <v>383</v>
      </c>
      <c r="C730" t="s">
        <v>18</v>
      </c>
      <c r="D730" t="s">
        <v>112</v>
      </c>
      <c r="F730" t="s">
        <v>773</v>
      </c>
      <c r="G730" t="s">
        <v>632</v>
      </c>
      <c r="H730" t="s">
        <v>59</v>
      </c>
      <c r="I730" s="49">
        <v>44150</v>
      </c>
      <c r="J730" s="47">
        <v>235768792.5</v>
      </c>
      <c r="K730">
        <v>4304281.5</v>
      </c>
      <c r="L730">
        <v>234697592.25</v>
      </c>
      <c r="M730">
        <v>1.968124</v>
      </c>
      <c r="N730">
        <v>2.6177779999999999</v>
      </c>
      <c r="O730" t="s">
        <v>42</v>
      </c>
      <c r="P730" t="s">
        <v>23</v>
      </c>
      <c r="Q730" s="49">
        <v>41605</v>
      </c>
      <c r="R730" s="49" t="str">
        <f>DataTable[HLD_Portfolio]&amp;DataTable[HLD_Date]</f>
        <v>SCBFPFUND43381</v>
      </c>
    </row>
    <row r="731" spans="1:18" x14ac:dyDescent="0.2">
      <c r="A731" s="49">
        <v>43381</v>
      </c>
      <c r="B731" t="s">
        <v>383</v>
      </c>
      <c r="C731" t="s">
        <v>18</v>
      </c>
      <c r="D731" t="s">
        <v>112</v>
      </c>
      <c r="F731" t="s">
        <v>774</v>
      </c>
      <c r="G731" t="s">
        <v>632</v>
      </c>
      <c r="H731" t="s">
        <v>59</v>
      </c>
      <c r="I731" s="49">
        <v>44515</v>
      </c>
      <c r="J731" s="47">
        <v>20913159.399999999</v>
      </c>
      <c r="K731">
        <v>322191.8</v>
      </c>
      <c r="L731">
        <v>20813289.800000001</v>
      </c>
      <c r="M731">
        <v>2.872741</v>
      </c>
      <c r="N731">
        <v>2.62</v>
      </c>
      <c r="O731" t="s">
        <v>42</v>
      </c>
      <c r="P731" t="s">
        <v>23</v>
      </c>
      <c r="Q731" s="49">
        <v>41988</v>
      </c>
      <c r="R731" s="49" t="str">
        <f>DataTable[HLD_Portfolio]&amp;DataTable[HLD_Date]</f>
        <v>SCBFPFUND43381</v>
      </c>
    </row>
    <row r="732" spans="1:18" x14ac:dyDescent="0.2">
      <c r="A732" s="49">
        <v>43381</v>
      </c>
      <c r="B732" t="s">
        <v>383</v>
      </c>
      <c r="C732" t="s">
        <v>18</v>
      </c>
      <c r="D732" t="s">
        <v>112</v>
      </c>
      <c r="F732" t="s">
        <v>775</v>
      </c>
      <c r="G732" t="s">
        <v>233</v>
      </c>
      <c r="H732" t="s">
        <v>126</v>
      </c>
      <c r="I732" s="49">
        <v>43642</v>
      </c>
      <c r="J732" s="47">
        <v>412870672.39999998</v>
      </c>
      <c r="K732">
        <v>3620919.1</v>
      </c>
      <c r="L732">
        <v>411320548.5</v>
      </c>
      <c r="M732">
        <v>0.69894900000000004</v>
      </c>
      <c r="N732">
        <v>2.6021339999999999</v>
      </c>
      <c r="O732" t="s">
        <v>42</v>
      </c>
      <c r="P732" t="s">
        <v>23</v>
      </c>
      <c r="Q732" s="49">
        <v>42181</v>
      </c>
      <c r="R732" s="49" t="str">
        <f>DataTable[HLD_Portfolio]&amp;DataTable[HLD_Date]</f>
        <v>SCBFPFUND43381</v>
      </c>
    </row>
    <row r="733" spans="1:18" x14ac:dyDescent="0.2">
      <c r="A733" s="49">
        <v>43381</v>
      </c>
      <c r="B733" t="s">
        <v>383</v>
      </c>
      <c r="C733" t="s">
        <v>18</v>
      </c>
      <c r="D733" t="s">
        <v>112</v>
      </c>
      <c r="F733" t="s">
        <v>581</v>
      </c>
      <c r="G733" t="s">
        <v>233</v>
      </c>
      <c r="H733" t="s">
        <v>126</v>
      </c>
      <c r="I733" s="49">
        <v>44156</v>
      </c>
      <c r="J733" s="47">
        <v>11889568.08</v>
      </c>
      <c r="K733">
        <v>101983.56</v>
      </c>
      <c r="L733">
        <v>12000000</v>
      </c>
      <c r="M733">
        <v>2.0367190000000002</v>
      </c>
      <c r="N733">
        <v>2.2000000000000002</v>
      </c>
      <c r="O733" t="s">
        <v>42</v>
      </c>
      <c r="P733" t="s">
        <v>23</v>
      </c>
      <c r="Q733" s="49">
        <v>43060</v>
      </c>
      <c r="R733" s="49" t="str">
        <f>DataTable[HLD_Portfolio]&amp;DataTable[HLD_Date]</f>
        <v>SCBFPFUND43381</v>
      </c>
    </row>
    <row r="734" spans="1:18" x14ac:dyDescent="0.2">
      <c r="A734" s="49">
        <v>43381</v>
      </c>
      <c r="B734" t="s">
        <v>383</v>
      </c>
      <c r="C734" t="s">
        <v>18</v>
      </c>
      <c r="D734" t="s">
        <v>112</v>
      </c>
      <c r="F734" t="s">
        <v>232</v>
      </c>
      <c r="G734" t="s">
        <v>233</v>
      </c>
      <c r="H734" t="s">
        <v>126</v>
      </c>
      <c r="I734" s="49">
        <v>44260</v>
      </c>
      <c r="J734" s="47">
        <v>7909261.5999999996</v>
      </c>
      <c r="K734">
        <v>16096.4</v>
      </c>
      <c r="L734">
        <v>8000000</v>
      </c>
      <c r="M734">
        <v>2.3187419999999999</v>
      </c>
      <c r="N734">
        <v>2.16</v>
      </c>
      <c r="O734" t="s">
        <v>42</v>
      </c>
      <c r="P734" t="s">
        <v>23</v>
      </c>
      <c r="Q734" s="49">
        <v>43164</v>
      </c>
      <c r="R734" s="49" t="str">
        <f>DataTable[HLD_Portfolio]&amp;DataTable[HLD_Date]</f>
        <v>SCBFPFUND43381</v>
      </c>
    </row>
    <row r="735" spans="1:18" x14ac:dyDescent="0.2">
      <c r="A735" s="49">
        <v>43381</v>
      </c>
      <c r="B735" t="s">
        <v>383</v>
      </c>
      <c r="C735" t="s">
        <v>18</v>
      </c>
      <c r="D735" t="s">
        <v>112</v>
      </c>
      <c r="F735" t="s">
        <v>776</v>
      </c>
      <c r="G735" t="s">
        <v>777</v>
      </c>
      <c r="H735" t="s">
        <v>570</v>
      </c>
      <c r="I735" s="49">
        <v>45534</v>
      </c>
      <c r="J735" s="47">
        <v>45552254.850000001</v>
      </c>
      <c r="K735">
        <v>146465.54999999999</v>
      </c>
      <c r="L735">
        <v>45769155.299999997</v>
      </c>
      <c r="M735">
        <v>5.3589589999999996</v>
      </c>
      <c r="N735">
        <v>2.6549999999999998</v>
      </c>
      <c r="O735" t="s">
        <v>42</v>
      </c>
      <c r="P735" t="s">
        <v>23</v>
      </c>
      <c r="Q735" s="49">
        <v>42977</v>
      </c>
      <c r="R735" s="49" t="str">
        <f>DataTable[HLD_Portfolio]&amp;DataTable[HLD_Date]</f>
        <v>SCBFPFUND43381</v>
      </c>
    </row>
    <row r="736" spans="1:18" x14ac:dyDescent="0.2">
      <c r="A736" s="49">
        <v>43381</v>
      </c>
      <c r="B736" t="s">
        <v>383</v>
      </c>
      <c r="C736" t="s">
        <v>18</v>
      </c>
      <c r="D736" t="s">
        <v>112</v>
      </c>
      <c r="F736" t="s">
        <v>635</v>
      </c>
      <c r="G736" t="s">
        <v>636</v>
      </c>
      <c r="H736" t="s">
        <v>537</v>
      </c>
      <c r="I736" s="49">
        <v>43960</v>
      </c>
      <c r="J736" s="47">
        <v>25046644.25</v>
      </c>
      <c r="K736">
        <v>260938.25</v>
      </c>
      <c r="L736">
        <v>25276371.25</v>
      </c>
      <c r="M736">
        <v>1.530321</v>
      </c>
      <c r="N736">
        <v>1.7725</v>
      </c>
      <c r="O736" t="s">
        <v>42</v>
      </c>
      <c r="P736" t="s">
        <v>23</v>
      </c>
      <c r="Q736" s="49">
        <v>42864</v>
      </c>
      <c r="R736" s="49" t="str">
        <f>DataTable[HLD_Portfolio]&amp;DataTable[HLD_Date]</f>
        <v>SCBFPFUND43381</v>
      </c>
    </row>
    <row r="737" spans="1:18" x14ac:dyDescent="0.2">
      <c r="A737" s="49">
        <v>43381</v>
      </c>
      <c r="B737" t="s">
        <v>383</v>
      </c>
      <c r="C737" t="s">
        <v>18</v>
      </c>
      <c r="D737" t="s">
        <v>112</v>
      </c>
      <c r="F737" t="s">
        <v>778</v>
      </c>
      <c r="G737" t="s">
        <v>636</v>
      </c>
      <c r="H737" t="s">
        <v>537</v>
      </c>
      <c r="I737" s="49">
        <v>45411</v>
      </c>
      <c r="J737" s="47">
        <v>95773675</v>
      </c>
      <c r="K737">
        <v>1098575</v>
      </c>
      <c r="L737">
        <v>100000000</v>
      </c>
      <c r="M737">
        <v>5.0746700000000002</v>
      </c>
      <c r="N737">
        <v>2.46</v>
      </c>
      <c r="O737" t="s">
        <v>42</v>
      </c>
      <c r="P737" t="s">
        <v>23</v>
      </c>
      <c r="Q737" s="49">
        <v>42489</v>
      </c>
      <c r="R737" s="49" t="str">
        <f>DataTable[HLD_Portfolio]&amp;DataTable[HLD_Date]</f>
        <v>SCBFPFUND43381</v>
      </c>
    </row>
    <row r="738" spans="1:18" x14ac:dyDescent="0.2">
      <c r="A738" s="49">
        <v>43381</v>
      </c>
      <c r="B738" t="s">
        <v>383</v>
      </c>
      <c r="C738" t="s">
        <v>18</v>
      </c>
      <c r="D738" t="s">
        <v>112</v>
      </c>
      <c r="F738" t="s">
        <v>779</v>
      </c>
      <c r="G738" t="s">
        <v>208</v>
      </c>
      <c r="H738" t="s">
        <v>29</v>
      </c>
      <c r="I738" s="49">
        <v>43948</v>
      </c>
      <c r="J738" s="47">
        <v>10039518.800000001</v>
      </c>
      <c r="K738">
        <v>68931.5</v>
      </c>
      <c r="L738">
        <v>10017301.6</v>
      </c>
      <c r="M738">
        <v>1.494102</v>
      </c>
      <c r="N738">
        <v>3.28</v>
      </c>
      <c r="O738" t="s">
        <v>42</v>
      </c>
      <c r="P738" t="s">
        <v>23</v>
      </c>
      <c r="Q738" s="49">
        <v>42852</v>
      </c>
      <c r="R738" s="49" t="str">
        <f>DataTable[HLD_Portfolio]&amp;DataTable[HLD_Date]</f>
        <v>SCBFPFUND43381</v>
      </c>
    </row>
    <row r="739" spans="1:18" x14ac:dyDescent="0.2">
      <c r="A739" s="49">
        <v>43381</v>
      </c>
      <c r="B739" t="s">
        <v>383</v>
      </c>
      <c r="C739" t="s">
        <v>18</v>
      </c>
      <c r="D739" t="s">
        <v>112</v>
      </c>
      <c r="F739" t="s">
        <v>780</v>
      </c>
      <c r="G739" t="s">
        <v>84</v>
      </c>
      <c r="H739" t="s">
        <v>47</v>
      </c>
      <c r="I739" s="49">
        <v>43819</v>
      </c>
      <c r="J739" s="47">
        <v>387983322.64999998</v>
      </c>
      <c r="K739">
        <v>3184635.3</v>
      </c>
      <c r="L739">
        <v>385003919.30000001</v>
      </c>
      <c r="M739">
        <v>1.165346</v>
      </c>
      <c r="N739">
        <v>2.7140740000000001</v>
      </c>
      <c r="O739" t="s">
        <v>42</v>
      </c>
      <c r="P739" t="s">
        <v>23</v>
      </c>
      <c r="Q739" s="49">
        <v>42366</v>
      </c>
      <c r="R739" s="49" t="str">
        <f>DataTable[HLD_Portfolio]&amp;DataTable[HLD_Date]</f>
        <v>SCBFPFUND43381</v>
      </c>
    </row>
    <row r="740" spans="1:18" x14ac:dyDescent="0.2">
      <c r="A740" s="49">
        <v>43381</v>
      </c>
      <c r="B740" t="s">
        <v>383</v>
      </c>
      <c r="C740" t="s">
        <v>18</v>
      </c>
      <c r="D740" t="s">
        <v>112</v>
      </c>
      <c r="F740" t="s">
        <v>238</v>
      </c>
      <c r="G740" t="s">
        <v>237</v>
      </c>
      <c r="H740" t="s">
        <v>206</v>
      </c>
      <c r="I740" s="49">
        <v>44277</v>
      </c>
      <c r="J740" s="47">
        <v>471034299.32999998</v>
      </c>
      <c r="K740">
        <v>466544.16</v>
      </c>
      <c r="L740">
        <v>477000000</v>
      </c>
      <c r="M740">
        <v>2.3663370000000001</v>
      </c>
      <c r="N740">
        <v>2.1</v>
      </c>
      <c r="O740" t="s">
        <v>42</v>
      </c>
      <c r="P740" t="s">
        <v>23</v>
      </c>
      <c r="Q740" s="49">
        <v>43181</v>
      </c>
      <c r="R740" s="49" t="str">
        <f>DataTable[HLD_Portfolio]&amp;DataTable[HLD_Date]</f>
        <v>SCBFPFUND43381</v>
      </c>
    </row>
    <row r="741" spans="1:18" x14ac:dyDescent="0.2">
      <c r="A741" s="49">
        <v>43381</v>
      </c>
      <c r="B741" t="s">
        <v>383</v>
      </c>
      <c r="C741" t="s">
        <v>18</v>
      </c>
      <c r="D741" t="s">
        <v>112</v>
      </c>
      <c r="F741" t="s">
        <v>637</v>
      </c>
      <c r="G741" t="s">
        <v>237</v>
      </c>
      <c r="H741" t="s">
        <v>206</v>
      </c>
      <c r="I741" s="49">
        <v>44639</v>
      </c>
      <c r="J741" s="47">
        <v>479591318.39999998</v>
      </c>
      <c r="K741">
        <v>841641.6</v>
      </c>
      <c r="L741">
        <v>480000000</v>
      </c>
      <c r="M741">
        <v>3.227789</v>
      </c>
      <c r="N741">
        <v>3.2</v>
      </c>
      <c r="O741" t="s">
        <v>42</v>
      </c>
      <c r="P741" t="s">
        <v>23</v>
      </c>
      <c r="Q741" s="49">
        <v>43362</v>
      </c>
      <c r="R741" s="49" t="str">
        <f>DataTable[HLD_Portfolio]&amp;DataTable[HLD_Date]</f>
        <v>SCBFPFUND43381</v>
      </c>
    </row>
    <row r="742" spans="1:18" x14ac:dyDescent="0.2">
      <c r="A742" s="49">
        <v>43381</v>
      </c>
      <c r="B742" t="s">
        <v>383</v>
      </c>
      <c r="C742" t="s">
        <v>18</v>
      </c>
      <c r="D742" t="s">
        <v>112</v>
      </c>
      <c r="F742" t="s">
        <v>239</v>
      </c>
      <c r="G742" t="s">
        <v>240</v>
      </c>
      <c r="H742" t="s">
        <v>126</v>
      </c>
      <c r="I742" s="49">
        <v>43740</v>
      </c>
      <c r="J742" s="47">
        <v>45951729.75</v>
      </c>
      <c r="K742">
        <v>36936.9</v>
      </c>
      <c r="L742">
        <v>45000000</v>
      </c>
      <c r="M742">
        <v>0.95904999999999996</v>
      </c>
      <c r="N742">
        <v>4.28</v>
      </c>
      <c r="O742" t="s">
        <v>42</v>
      </c>
      <c r="P742" t="s">
        <v>23</v>
      </c>
      <c r="Q742" s="49">
        <v>41914</v>
      </c>
      <c r="R742" s="49" t="str">
        <f>DataTable[HLD_Portfolio]&amp;DataTable[HLD_Date]</f>
        <v>SCBFPFUND43381</v>
      </c>
    </row>
    <row r="743" spans="1:18" x14ac:dyDescent="0.2">
      <c r="A743" s="49">
        <v>43381</v>
      </c>
      <c r="B743" t="s">
        <v>383</v>
      </c>
      <c r="C743" t="s">
        <v>18</v>
      </c>
      <c r="D743" t="s">
        <v>112</v>
      </c>
      <c r="F743" t="s">
        <v>243</v>
      </c>
      <c r="G743" t="s">
        <v>71</v>
      </c>
      <c r="H743" t="s">
        <v>47</v>
      </c>
      <c r="I743" s="49">
        <v>43972</v>
      </c>
      <c r="J743" s="47">
        <v>772962241.79999995</v>
      </c>
      <c r="K743">
        <v>5252729.79</v>
      </c>
      <c r="L743">
        <v>777000000</v>
      </c>
      <c r="M743">
        <v>1.575509</v>
      </c>
      <c r="N743">
        <v>1.75</v>
      </c>
      <c r="O743" t="s">
        <v>42</v>
      </c>
      <c r="P743" t="s">
        <v>23</v>
      </c>
      <c r="Q743" s="49">
        <v>43241</v>
      </c>
      <c r="R743" s="49" t="str">
        <f>DataTable[HLD_Portfolio]&amp;DataTable[HLD_Date]</f>
        <v>SCBFPFUND43381</v>
      </c>
    </row>
    <row r="744" spans="1:18" x14ac:dyDescent="0.2">
      <c r="A744" s="49">
        <v>43381</v>
      </c>
      <c r="B744" t="s">
        <v>383</v>
      </c>
      <c r="C744" t="s">
        <v>18</v>
      </c>
      <c r="D744" t="s">
        <v>265</v>
      </c>
      <c r="F744" t="s">
        <v>781</v>
      </c>
      <c r="G744" t="s">
        <v>46</v>
      </c>
      <c r="H744" t="s">
        <v>47</v>
      </c>
      <c r="I744" s="49">
        <v>43444</v>
      </c>
      <c r="J744" s="47">
        <v>65950955.5</v>
      </c>
      <c r="K744">
        <v>627096.12</v>
      </c>
      <c r="L744">
        <v>66062279.159999996</v>
      </c>
      <c r="M744">
        <v>0.16777900000000001</v>
      </c>
      <c r="N744">
        <v>2.1696460000000002</v>
      </c>
      <c r="O744" t="s">
        <v>42</v>
      </c>
      <c r="P744" t="s">
        <v>37</v>
      </c>
      <c r="Q744" s="49">
        <v>41618</v>
      </c>
      <c r="R744" s="49" t="str">
        <f>DataTable[HLD_Portfolio]&amp;DataTable[HLD_Date]</f>
        <v>SCBFPFUND43381</v>
      </c>
    </row>
    <row r="745" spans="1:18" x14ac:dyDescent="0.2">
      <c r="A745" s="49">
        <v>43381</v>
      </c>
      <c r="B745" t="s">
        <v>383</v>
      </c>
      <c r="C745" t="s">
        <v>116</v>
      </c>
      <c r="D745" t="s">
        <v>117</v>
      </c>
      <c r="F745" t="s">
        <v>782</v>
      </c>
      <c r="G745" t="s">
        <v>289</v>
      </c>
      <c r="H745" t="s">
        <v>43</v>
      </c>
      <c r="I745" s="49">
        <v>43441</v>
      </c>
      <c r="J745" s="47">
        <v>49968115.600000001</v>
      </c>
      <c r="L745">
        <v>0</v>
      </c>
      <c r="M745">
        <v>0</v>
      </c>
      <c r="N745">
        <v>0</v>
      </c>
      <c r="O745" t="s">
        <v>119</v>
      </c>
      <c r="P745" t="s">
        <v>23</v>
      </c>
      <c r="Q745" s="49">
        <v>2</v>
      </c>
      <c r="R745" s="49" t="str">
        <f>DataTable[HLD_Portfolio]&amp;DataTable[HLD_Date]</f>
        <v>SCBFPFUND43381</v>
      </c>
    </row>
    <row r="746" spans="1:18" x14ac:dyDescent="0.2">
      <c r="A746" s="49">
        <v>43381</v>
      </c>
      <c r="B746" t="s">
        <v>383</v>
      </c>
      <c r="C746" t="s">
        <v>116</v>
      </c>
      <c r="D746" t="s">
        <v>117</v>
      </c>
      <c r="F746" t="s">
        <v>783</v>
      </c>
      <c r="G746" t="s">
        <v>784</v>
      </c>
      <c r="H746" t="s">
        <v>51</v>
      </c>
      <c r="I746" s="49">
        <v>43434</v>
      </c>
      <c r="J746" s="47">
        <v>50638830</v>
      </c>
      <c r="L746">
        <v>0</v>
      </c>
      <c r="M746">
        <v>0</v>
      </c>
      <c r="N746">
        <v>0</v>
      </c>
      <c r="O746" t="s">
        <v>119</v>
      </c>
      <c r="P746" t="s">
        <v>23</v>
      </c>
      <c r="Q746" s="49">
        <v>2</v>
      </c>
      <c r="R746" s="49" t="str">
        <f>DataTable[HLD_Portfolio]&amp;DataTable[HLD_Date]</f>
        <v>SCBFPFUND43381</v>
      </c>
    </row>
    <row r="747" spans="1:18" x14ac:dyDescent="0.2">
      <c r="A747" s="49">
        <v>43381</v>
      </c>
      <c r="B747" t="s">
        <v>383</v>
      </c>
      <c r="C747" t="s">
        <v>116</v>
      </c>
      <c r="D747" t="s">
        <v>117</v>
      </c>
      <c r="F747" t="s">
        <v>785</v>
      </c>
      <c r="G747" t="s">
        <v>73</v>
      </c>
      <c r="H747" t="s">
        <v>27</v>
      </c>
      <c r="I747" s="49">
        <v>43504</v>
      </c>
      <c r="J747" s="47">
        <v>80470271.030000001</v>
      </c>
      <c r="L747">
        <v>0</v>
      </c>
      <c r="M747">
        <v>0</v>
      </c>
      <c r="N747">
        <v>0</v>
      </c>
      <c r="O747" t="s">
        <v>119</v>
      </c>
      <c r="P747" t="s">
        <v>23</v>
      </c>
      <c r="Q747" s="49">
        <v>2</v>
      </c>
      <c r="R747" s="49" t="str">
        <f>DataTable[HLD_Portfolio]&amp;DataTable[HLD_Date]</f>
        <v>SCBFPFUND43381</v>
      </c>
    </row>
    <row r="748" spans="1:18" x14ac:dyDescent="0.2">
      <c r="A748" s="49">
        <v>43381</v>
      </c>
      <c r="B748" t="s">
        <v>383</v>
      </c>
      <c r="C748" t="s">
        <v>116</v>
      </c>
      <c r="D748" t="s">
        <v>117</v>
      </c>
      <c r="F748" t="s">
        <v>786</v>
      </c>
      <c r="G748" t="s">
        <v>784</v>
      </c>
      <c r="H748" t="s">
        <v>51</v>
      </c>
      <c r="I748" s="49">
        <v>43549</v>
      </c>
      <c r="J748" s="47">
        <v>12452764.710000001</v>
      </c>
      <c r="L748">
        <v>0</v>
      </c>
      <c r="M748">
        <v>0</v>
      </c>
      <c r="N748">
        <v>0</v>
      </c>
      <c r="O748" t="s">
        <v>119</v>
      </c>
      <c r="P748" t="s">
        <v>23</v>
      </c>
      <c r="Q748" s="49">
        <v>2</v>
      </c>
      <c r="R748" s="49" t="str">
        <f>DataTable[HLD_Portfolio]&amp;DataTable[HLD_Date]</f>
        <v>SCBFPFUND43381</v>
      </c>
    </row>
    <row r="749" spans="1:18" x14ac:dyDescent="0.2">
      <c r="A749" s="49">
        <v>43381</v>
      </c>
      <c r="B749" t="s">
        <v>383</v>
      </c>
      <c r="C749" t="s">
        <v>116</v>
      </c>
      <c r="D749" t="s">
        <v>117</v>
      </c>
      <c r="F749" t="s">
        <v>787</v>
      </c>
      <c r="G749" t="s">
        <v>289</v>
      </c>
      <c r="H749" t="s">
        <v>43</v>
      </c>
      <c r="I749" s="49">
        <v>43587</v>
      </c>
      <c r="J749" s="47">
        <v>18899422.18</v>
      </c>
      <c r="L749">
        <v>0</v>
      </c>
      <c r="M749">
        <v>0</v>
      </c>
      <c r="N749">
        <v>0</v>
      </c>
      <c r="O749" t="s">
        <v>119</v>
      </c>
      <c r="P749" t="s">
        <v>23</v>
      </c>
      <c r="Q749" s="49">
        <v>2</v>
      </c>
      <c r="R749" s="49" t="str">
        <f>DataTable[HLD_Portfolio]&amp;DataTable[HLD_Date]</f>
        <v>SCBFPFUND43381</v>
      </c>
    </row>
    <row r="750" spans="1:18" x14ac:dyDescent="0.2">
      <c r="A750" s="49">
        <v>43381</v>
      </c>
      <c r="B750" t="s">
        <v>383</v>
      </c>
      <c r="C750" t="s">
        <v>116</v>
      </c>
      <c r="D750" t="s">
        <v>117</v>
      </c>
      <c r="F750" t="s">
        <v>788</v>
      </c>
      <c r="G750" t="s">
        <v>289</v>
      </c>
      <c r="H750" t="s">
        <v>43</v>
      </c>
      <c r="I750" s="49">
        <v>43452</v>
      </c>
      <c r="J750" s="47">
        <v>-4687227.83</v>
      </c>
      <c r="L750">
        <v>0</v>
      </c>
      <c r="M750">
        <v>0</v>
      </c>
      <c r="N750">
        <v>0</v>
      </c>
      <c r="O750" t="s">
        <v>119</v>
      </c>
      <c r="P750" t="s">
        <v>23</v>
      </c>
      <c r="Q750" s="49">
        <v>2</v>
      </c>
      <c r="R750" s="49" t="str">
        <f>DataTable[HLD_Portfolio]&amp;DataTable[HLD_Date]</f>
        <v>SCBFPFUND43381</v>
      </c>
    </row>
    <row r="751" spans="1:18" x14ac:dyDescent="0.2">
      <c r="A751" s="49">
        <v>43381</v>
      </c>
      <c r="B751" t="s">
        <v>383</v>
      </c>
      <c r="C751" t="s">
        <v>116</v>
      </c>
      <c r="D751" t="s">
        <v>117</v>
      </c>
      <c r="F751" t="s">
        <v>789</v>
      </c>
      <c r="G751" t="s">
        <v>289</v>
      </c>
      <c r="H751" t="s">
        <v>43</v>
      </c>
      <c r="I751" s="49">
        <v>43410</v>
      </c>
      <c r="J751" s="47">
        <v>2305738.0699999998</v>
      </c>
      <c r="L751">
        <v>0</v>
      </c>
      <c r="M751">
        <v>0</v>
      </c>
      <c r="N751">
        <v>0</v>
      </c>
      <c r="O751" t="s">
        <v>119</v>
      </c>
      <c r="P751" t="s">
        <v>23</v>
      </c>
      <c r="Q751" s="49">
        <v>2</v>
      </c>
      <c r="R751" s="49" t="str">
        <f>DataTable[HLD_Portfolio]&amp;DataTable[HLD_Date]</f>
        <v>SCBFPFUND43381</v>
      </c>
    </row>
    <row r="752" spans="1:18" x14ac:dyDescent="0.2">
      <c r="A752" s="49">
        <v>43381</v>
      </c>
      <c r="B752" t="s">
        <v>383</v>
      </c>
      <c r="C752" t="s">
        <v>116</v>
      </c>
      <c r="D752" t="s">
        <v>117</v>
      </c>
      <c r="F752" t="s">
        <v>790</v>
      </c>
      <c r="G752" t="s">
        <v>26</v>
      </c>
      <c r="H752" t="s">
        <v>27</v>
      </c>
      <c r="I752" s="49">
        <v>43397</v>
      </c>
      <c r="J752" s="47">
        <v>-61695651.109999999</v>
      </c>
      <c r="L752">
        <v>0</v>
      </c>
      <c r="M752">
        <v>0</v>
      </c>
      <c r="N752">
        <v>0</v>
      </c>
      <c r="O752" t="s">
        <v>119</v>
      </c>
      <c r="P752" t="s">
        <v>23</v>
      </c>
      <c r="Q752" s="49">
        <v>2</v>
      </c>
      <c r="R752" s="49" t="str">
        <f>DataTable[HLD_Portfolio]&amp;DataTable[HLD_Date]</f>
        <v>SCBFPFUND43381</v>
      </c>
    </row>
    <row r="753" spans="1:18" x14ac:dyDescent="0.2">
      <c r="A753" s="49">
        <v>43381</v>
      </c>
      <c r="B753" t="s">
        <v>383</v>
      </c>
      <c r="C753" t="s">
        <v>116</v>
      </c>
      <c r="D753" t="s">
        <v>117</v>
      </c>
      <c r="F753" t="s">
        <v>791</v>
      </c>
      <c r="G753" t="s">
        <v>784</v>
      </c>
      <c r="H753" t="s">
        <v>51</v>
      </c>
      <c r="I753" s="49">
        <v>43481</v>
      </c>
      <c r="J753" s="47">
        <v>-19237236.469999999</v>
      </c>
      <c r="L753">
        <v>0</v>
      </c>
      <c r="M753">
        <v>0</v>
      </c>
      <c r="N753">
        <v>0</v>
      </c>
      <c r="O753" t="s">
        <v>119</v>
      </c>
      <c r="P753" t="s">
        <v>23</v>
      </c>
      <c r="Q753" s="49">
        <v>2</v>
      </c>
      <c r="R753" s="49" t="str">
        <f>DataTable[HLD_Portfolio]&amp;DataTable[HLD_Date]</f>
        <v>SCBFPFUND43381</v>
      </c>
    </row>
    <row r="754" spans="1:18" x14ac:dyDescent="0.2">
      <c r="A754" s="49">
        <v>43381</v>
      </c>
      <c r="B754" t="s">
        <v>383</v>
      </c>
      <c r="C754" t="s">
        <v>116</v>
      </c>
      <c r="D754" t="s">
        <v>117</v>
      </c>
      <c r="F754" t="s">
        <v>792</v>
      </c>
      <c r="G754" t="s">
        <v>149</v>
      </c>
      <c r="H754" t="s">
        <v>27</v>
      </c>
      <c r="I754" s="49">
        <v>43728</v>
      </c>
      <c r="J754" s="47">
        <v>-7627285.2300000004</v>
      </c>
      <c r="L754">
        <v>0</v>
      </c>
      <c r="M754">
        <v>0</v>
      </c>
      <c r="N754">
        <v>0</v>
      </c>
      <c r="O754" t="s">
        <v>119</v>
      </c>
      <c r="P754" t="s">
        <v>23</v>
      </c>
      <c r="Q754" s="49">
        <v>2</v>
      </c>
      <c r="R754" s="49" t="str">
        <f>DataTable[HLD_Portfolio]&amp;DataTable[HLD_Date]</f>
        <v>SCBFPFUND43381</v>
      </c>
    </row>
    <row r="755" spans="1:18" x14ac:dyDescent="0.2">
      <c r="A755" s="49">
        <v>43381</v>
      </c>
      <c r="B755" t="s">
        <v>383</v>
      </c>
      <c r="C755" t="s">
        <v>116</v>
      </c>
      <c r="D755" t="s">
        <v>117</v>
      </c>
      <c r="F755" t="s">
        <v>793</v>
      </c>
      <c r="G755" t="s">
        <v>289</v>
      </c>
      <c r="H755" t="s">
        <v>43</v>
      </c>
      <c r="I755" s="49">
        <v>43740</v>
      </c>
      <c r="J755" s="47">
        <v>-5742244.6399999997</v>
      </c>
      <c r="L755">
        <v>0</v>
      </c>
      <c r="M755">
        <v>0</v>
      </c>
      <c r="N755">
        <v>0</v>
      </c>
      <c r="O755" t="s">
        <v>119</v>
      </c>
      <c r="P755" t="s">
        <v>23</v>
      </c>
      <c r="Q755" s="49">
        <v>2</v>
      </c>
      <c r="R755" s="49" t="str">
        <f>DataTable[HLD_Portfolio]&amp;DataTable[HLD_Date]</f>
        <v>SCBFPFUND43381</v>
      </c>
    </row>
    <row r="756" spans="1:18" x14ac:dyDescent="0.2">
      <c r="A756" s="49">
        <v>43381</v>
      </c>
      <c r="B756" t="s">
        <v>383</v>
      </c>
      <c r="C756" t="s">
        <v>116</v>
      </c>
      <c r="D756" t="s">
        <v>687</v>
      </c>
      <c r="F756" t="s">
        <v>794</v>
      </c>
      <c r="G756" t="s">
        <v>26</v>
      </c>
      <c r="H756" t="s">
        <v>27</v>
      </c>
      <c r="I756" s="49">
        <v>46003</v>
      </c>
      <c r="J756" s="47">
        <v>-15323193.369999999</v>
      </c>
      <c r="L756">
        <v>0</v>
      </c>
      <c r="M756">
        <v>0</v>
      </c>
      <c r="N756">
        <v>0</v>
      </c>
      <c r="O756" t="s">
        <v>689</v>
      </c>
      <c r="P756" t="s">
        <v>23</v>
      </c>
      <c r="Q756" s="49">
        <v>2</v>
      </c>
      <c r="R756" s="49" t="str">
        <f>DataTable[HLD_Portfolio]&amp;DataTable[HLD_Date]</f>
        <v>SCBFPFUND43381</v>
      </c>
    </row>
    <row r="757" spans="1:18" x14ac:dyDescent="0.2">
      <c r="A757" s="49">
        <v>43381</v>
      </c>
      <c r="B757" t="s">
        <v>383</v>
      </c>
      <c r="C757" t="s">
        <v>116</v>
      </c>
      <c r="D757" t="s">
        <v>687</v>
      </c>
      <c r="F757" t="s">
        <v>795</v>
      </c>
      <c r="G757" t="s">
        <v>26</v>
      </c>
      <c r="H757" t="s">
        <v>27</v>
      </c>
      <c r="I757" s="49">
        <v>43629</v>
      </c>
      <c r="J757" s="47">
        <v>-3910756.91</v>
      </c>
      <c r="L757">
        <v>0</v>
      </c>
      <c r="M757">
        <v>0</v>
      </c>
      <c r="N757">
        <v>0</v>
      </c>
      <c r="O757" t="s">
        <v>689</v>
      </c>
      <c r="P757" t="s">
        <v>23</v>
      </c>
      <c r="Q757" s="49">
        <v>2</v>
      </c>
      <c r="R757" s="49" t="str">
        <f>DataTable[HLD_Portfolio]&amp;DataTable[HLD_Date]</f>
        <v>SCBFPFUND43381</v>
      </c>
    </row>
    <row r="758" spans="1:18" x14ac:dyDescent="0.2">
      <c r="A758" s="49">
        <v>43381</v>
      </c>
      <c r="B758" t="s">
        <v>383</v>
      </c>
      <c r="C758" t="s">
        <v>116</v>
      </c>
      <c r="D758" t="s">
        <v>687</v>
      </c>
      <c r="F758" t="s">
        <v>796</v>
      </c>
      <c r="G758" t="s">
        <v>26</v>
      </c>
      <c r="H758" t="s">
        <v>27</v>
      </c>
      <c r="I758" s="49">
        <v>45093</v>
      </c>
      <c r="J758" s="47">
        <v>-6075584.9500000002</v>
      </c>
      <c r="L758">
        <v>0</v>
      </c>
      <c r="M758">
        <v>0</v>
      </c>
      <c r="N758">
        <v>0</v>
      </c>
      <c r="O758" t="s">
        <v>689</v>
      </c>
      <c r="P758" t="s">
        <v>23</v>
      </c>
      <c r="Q758" s="49">
        <v>2</v>
      </c>
      <c r="R758" s="49" t="str">
        <f>DataTable[HLD_Portfolio]&amp;DataTable[HLD_Date]</f>
        <v>SCBFPFUND43381</v>
      </c>
    </row>
    <row r="759" spans="1:18" x14ac:dyDescent="0.2">
      <c r="A759" s="49">
        <v>43381</v>
      </c>
      <c r="B759" t="s">
        <v>383</v>
      </c>
      <c r="C759" t="s">
        <v>116</v>
      </c>
      <c r="D759" t="s">
        <v>687</v>
      </c>
      <c r="F759" t="s">
        <v>797</v>
      </c>
      <c r="G759" t="s">
        <v>26</v>
      </c>
      <c r="H759" t="s">
        <v>27</v>
      </c>
      <c r="I759" s="49">
        <v>43444</v>
      </c>
      <c r="J759" s="47">
        <v>6937181.5899999999</v>
      </c>
      <c r="L759">
        <v>0</v>
      </c>
      <c r="M759">
        <v>0</v>
      </c>
      <c r="N759">
        <v>0</v>
      </c>
      <c r="O759" t="s">
        <v>689</v>
      </c>
      <c r="P759" t="s">
        <v>23</v>
      </c>
      <c r="Q759" s="49">
        <v>2</v>
      </c>
      <c r="R759" s="49" t="str">
        <f>DataTable[HLD_Portfolio]&amp;DataTable[HLD_Date]</f>
        <v>SCBFPFUND43381</v>
      </c>
    </row>
    <row r="760" spans="1:18" x14ac:dyDescent="0.2">
      <c r="A760" s="49">
        <v>43381</v>
      </c>
      <c r="B760" t="s">
        <v>383</v>
      </c>
      <c r="C760" t="s">
        <v>116</v>
      </c>
      <c r="D760" t="s">
        <v>687</v>
      </c>
      <c r="F760" t="s">
        <v>798</v>
      </c>
      <c r="G760" t="s">
        <v>26</v>
      </c>
      <c r="H760" t="s">
        <v>27</v>
      </c>
      <c r="I760" s="49">
        <v>46373</v>
      </c>
      <c r="J760" s="47">
        <v>1186356.27</v>
      </c>
      <c r="L760">
        <v>0</v>
      </c>
      <c r="M760">
        <v>0</v>
      </c>
      <c r="N760">
        <v>0</v>
      </c>
      <c r="O760" t="s">
        <v>689</v>
      </c>
      <c r="P760" t="s">
        <v>23</v>
      </c>
      <c r="Q760" s="49">
        <v>2</v>
      </c>
      <c r="R760" s="49" t="str">
        <f>DataTable[HLD_Portfolio]&amp;DataTable[HLD_Date]</f>
        <v>SCBFPFUND43381</v>
      </c>
    </row>
    <row r="761" spans="1:18" x14ac:dyDescent="0.2">
      <c r="A761" s="49">
        <v>43381</v>
      </c>
      <c r="B761" t="s">
        <v>383</v>
      </c>
      <c r="C761" t="s">
        <v>116</v>
      </c>
      <c r="D761" t="s">
        <v>687</v>
      </c>
      <c r="F761" t="s">
        <v>799</v>
      </c>
      <c r="G761" t="s">
        <v>26</v>
      </c>
      <c r="H761" t="s">
        <v>27</v>
      </c>
      <c r="I761" s="49">
        <v>44402</v>
      </c>
      <c r="J761" s="47">
        <v>247859.15</v>
      </c>
      <c r="L761">
        <v>0</v>
      </c>
      <c r="M761">
        <v>0</v>
      </c>
      <c r="N761">
        <v>0</v>
      </c>
      <c r="O761" t="s">
        <v>689</v>
      </c>
      <c r="P761" t="s">
        <v>23</v>
      </c>
      <c r="Q761" s="49">
        <v>2</v>
      </c>
      <c r="R761" s="49" t="str">
        <f>DataTable[HLD_Portfolio]&amp;DataTable[HLD_Date]</f>
        <v>SCBFPFUND43381</v>
      </c>
    </row>
    <row r="762" spans="1:18" x14ac:dyDescent="0.2">
      <c r="A762" s="49">
        <v>43381</v>
      </c>
      <c r="B762" t="s">
        <v>383</v>
      </c>
      <c r="C762" t="s">
        <v>116</v>
      </c>
      <c r="D762" t="s">
        <v>687</v>
      </c>
      <c r="F762" t="s">
        <v>800</v>
      </c>
      <c r="G762" t="s">
        <v>26</v>
      </c>
      <c r="H762" t="s">
        <v>27</v>
      </c>
      <c r="I762" s="49">
        <v>44424</v>
      </c>
      <c r="J762" s="47">
        <v>546151.62</v>
      </c>
      <c r="L762">
        <v>0</v>
      </c>
      <c r="M762">
        <v>0</v>
      </c>
      <c r="N762">
        <v>0</v>
      </c>
      <c r="O762" t="s">
        <v>689</v>
      </c>
      <c r="P762" t="s">
        <v>23</v>
      </c>
      <c r="Q762" s="49">
        <v>2</v>
      </c>
      <c r="R762" s="49" t="str">
        <f>DataTable[HLD_Portfolio]&amp;DataTable[HLD_Date]</f>
        <v>SCBFPFUND43381</v>
      </c>
    </row>
    <row r="763" spans="1:18" x14ac:dyDescent="0.2">
      <c r="A763" s="49">
        <v>43381</v>
      </c>
      <c r="B763" t="s">
        <v>383</v>
      </c>
      <c r="C763" t="s">
        <v>116</v>
      </c>
      <c r="D763" t="s">
        <v>687</v>
      </c>
      <c r="F763" t="s">
        <v>801</v>
      </c>
      <c r="G763" t="s">
        <v>289</v>
      </c>
      <c r="H763" t="s">
        <v>43</v>
      </c>
      <c r="I763" s="49">
        <v>45162</v>
      </c>
      <c r="J763" s="47">
        <v>1224609.54</v>
      </c>
      <c r="L763">
        <v>0</v>
      </c>
      <c r="M763">
        <v>0</v>
      </c>
      <c r="N763">
        <v>0</v>
      </c>
      <c r="O763" t="s">
        <v>689</v>
      </c>
      <c r="P763" t="s">
        <v>23</v>
      </c>
      <c r="Q763" s="49">
        <v>2</v>
      </c>
      <c r="R763" s="49" t="str">
        <f>DataTable[HLD_Portfolio]&amp;DataTable[HLD_Date]</f>
        <v>SCBFPFUND43381</v>
      </c>
    </row>
    <row r="764" spans="1:18" x14ac:dyDescent="0.2">
      <c r="A764" s="49">
        <v>43381</v>
      </c>
      <c r="B764" t="s">
        <v>383</v>
      </c>
      <c r="C764" t="s">
        <v>116</v>
      </c>
      <c r="D764" t="s">
        <v>687</v>
      </c>
      <c r="F764" t="s">
        <v>802</v>
      </c>
      <c r="G764" t="s">
        <v>289</v>
      </c>
      <c r="H764" t="s">
        <v>43</v>
      </c>
      <c r="I764" s="49">
        <v>44432</v>
      </c>
      <c r="J764" s="47">
        <v>340867.73</v>
      </c>
      <c r="L764">
        <v>0</v>
      </c>
      <c r="M764">
        <v>0</v>
      </c>
      <c r="N764">
        <v>0</v>
      </c>
      <c r="O764" t="s">
        <v>689</v>
      </c>
      <c r="P764" t="s">
        <v>23</v>
      </c>
      <c r="Q764" s="49">
        <v>2</v>
      </c>
      <c r="R764" s="49" t="str">
        <f>DataTable[HLD_Portfolio]&amp;DataTable[HLD_Date]</f>
        <v>SCBFPFUND43381</v>
      </c>
    </row>
    <row r="765" spans="1:18" x14ac:dyDescent="0.2">
      <c r="A765" s="49">
        <v>43381</v>
      </c>
      <c r="B765" t="s">
        <v>383</v>
      </c>
      <c r="C765" t="s">
        <v>131</v>
      </c>
      <c r="D765" t="s">
        <v>313</v>
      </c>
      <c r="E765" t="s">
        <v>389</v>
      </c>
      <c r="F765" t="s">
        <v>654</v>
      </c>
      <c r="I765" s="49"/>
      <c r="J765" s="47">
        <v>118263848.15000001</v>
      </c>
      <c r="L765">
        <v>118263848.15000001</v>
      </c>
      <c r="N765">
        <v>0</v>
      </c>
      <c r="O765" t="s">
        <v>42</v>
      </c>
      <c r="P765" t="s">
        <v>23</v>
      </c>
      <c r="Q765" s="49">
        <v>43342</v>
      </c>
      <c r="R765" s="49" t="str">
        <f>DataTable[HLD_Portfolio]&amp;DataTable[HLD_Date]</f>
        <v>SCBFPFUND43381</v>
      </c>
    </row>
    <row r="766" spans="1:18" x14ac:dyDescent="0.2">
      <c r="A766" s="49">
        <v>43381</v>
      </c>
      <c r="B766" t="s">
        <v>383</v>
      </c>
      <c r="C766" t="s">
        <v>131</v>
      </c>
      <c r="D766" t="s">
        <v>310</v>
      </c>
      <c r="E766" t="s">
        <v>389</v>
      </c>
      <c r="F766" t="s">
        <v>20</v>
      </c>
      <c r="I766" s="49"/>
      <c r="J766" s="47">
        <v>900966.73</v>
      </c>
      <c r="L766">
        <v>900966.73</v>
      </c>
      <c r="M766">
        <v>0</v>
      </c>
      <c r="N766">
        <v>0</v>
      </c>
      <c r="O766" t="s">
        <v>22</v>
      </c>
      <c r="P766" t="s">
        <v>23</v>
      </c>
      <c r="Q766" s="49">
        <v>2</v>
      </c>
      <c r="R766" s="49" t="str">
        <f>DataTable[HLD_Portfolio]&amp;DataTable[HLD_Date]</f>
        <v>SCBFPFUND43381</v>
      </c>
    </row>
    <row r="767" spans="1:18" x14ac:dyDescent="0.2">
      <c r="A767" s="49">
        <v>43381</v>
      </c>
      <c r="B767" t="s">
        <v>383</v>
      </c>
      <c r="C767" t="s">
        <v>132</v>
      </c>
      <c r="D767" t="s">
        <v>134</v>
      </c>
      <c r="E767" t="s">
        <v>134</v>
      </c>
      <c r="F767" t="s">
        <v>134</v>
      </c>
      <c r="I767" s="49"/>
      <c r="J767" s="47">
        <v>-140548.32</v>
      </c>
      <c r="N767">
        <v>0</v>
      </c>
      <c r="Q767" s="49"/>
      <c r="R767" s="49" t="str">
        <f>DataTable[HLD_Portfolio]&amp;DataTable[HLD_Date]</f>
        <v>SCBFPFUND43381</v>
      </c>
    </row>
    <row r="768" spans="1:18" x14ac:dyDescent="0.2">
      <c r="A768" s="49">
        <v>43381</v>
      </c>
      <c r="B768" t="s">
        <v>383</v>
      </c>
      <c r="C768" t="s">
        <v>132</v>
      </c>
      <c r="D768" t="s">
        <v>135</v>
      </c>
      <c r="I768" s="49"/>
      <c r="J768" s="47">
        <v>-663314.23</v>
      </c>
      <c r="K768">
        <v>0</v>
      </c>
      <c r="N768">
        <v>0</v>
      </c>
      <c r="Q768" s="49"/>
      <c r="R768" s="49" t="str">
        <f>DataTable[HLD_Portfolio]&amp;DataTable[HLD_Date]</f>
        <v>SCBFPFUND43381</v>
      </c>
    </row>
    <row r="769" spans="1:18" x14ac:dyDescent="0.2">
      <c r="A769" s="49">
        <v>43381</v>
      </c>
      <c r="B769" t="s">
        <v>383</v>
      </c>
      <c r="C769" t="s">
        <v>132</v>
      </c>
      <c r="D769" t="s">
        <v>136</v>
      </c>
      <c r="E769" t="s">
        <v>136</v>
      </c>
      <c r="F769" t="s">
        <v>136</v>
      </c>
      <c r="I769" s="49"/>
      <c r="J769" s="47">
        <v>-4182.17</v>
      </c>
      <c r="N769">
        <v>0</v>
      </c>
      <c r="Q769" s="49"/>
      <c r="R769" s="49" t="str">
        <f>DataTable[HLD_Portfolio]&amp;DataTable[HLD_Date]</f>
        <v>SCBFPFUND43381</v>
      </c>
    </row>
    <row r="770" spans="1:18" x14ac:dyDescent="0.2">
      <c r="A770" s="49">
        <v>43381</v>
      </c>
      <c r="B770" t="s">
        <v>383</v>
      </c>
      <c r="C770" t="s">
        <v>132</v>
      </c>
      <c r="D770" t="s">
        <v>136</v>
      </c>
      <c r="E770" t="s">
        <v>136</v>
      </c>
      <c r="F770" t="s">
        <v>136</v>
      </c>
      <c r="I770" s="49"/>
      <c r="J770" s="47">
        <v>-1133.2</v>
      </c>
      <c r="N770">
        <v>0</v>
      </c>
      <c r="Q770" s="49"/>
      <c r="R770" s="49" t="str">
        <f>DataTable[HLD_Portfolio]&amp;DataTable[HLD_Date]</f>
        <v>SCBFPFUND43381</v>
      </c>
    </row>
    <row r="771" spans="1:18" x14ac:dyDescent="0.2">
      <c r="A771" s="49">
        <v>43381</v>
      </c>
      <c r="B771" t="s">
        <v>383</v>
      </c>
      <c r="C771" t="s">
        <v>132</v>
      </c>
      <c r="D771" t="s">
        <v>137</v>
      </c>
      <c r="E771" t="s">
        <v>137</v>
      </c>
      <c r="I771" s="49"/>
      <c r="J771" s="47">
        <v>-255126.62</v>
      </c>
      <c r="L771">
        <v>-255126.62</v>
      </c>
      <c r="N771">
        <v>0</v>
      </c>
      <c r="Q771" s="49"/>
      <c r="R771" s="49" t="str">
        <f>DataTable[HLD_Portfolio]&amp;DataTable[HLD_Date]</f>
        <v>SCBFPFUND43381</v>
      </c>
    </row>
    <row r="772" spans="1:18" x14ac:dyDescent="0.2">
      <c r="A772" s="49">
        <v>43381</v>
      </c>
      <c r="B772" t="s">
        <v>383</v>
      </c>
      <c r="C772" t="s">
        <v>132</v>
      </c>
      <c r="D772" t="s">
        <v>138</v>
      </c>
      <c r="E772" t="s">
        <v>138</v>
      </c>
      <c r="I772" s="49"/>
      <c r="J772" s="47">
        <v>-3468511.5</v>
      </c>
      <c r="L772">
        <v>-3468511.5</v>
      </c>
      <c r="N772">
        <v>0</v>
      </c>
      <c r="Q772" s="49"/>
      <c r="R772" s="49" t="str">
        <f>DataTable[HLD_Portfolio]&amp;DataTable[HLD_Date]</f>
        <v>SCBFPFUND43381</v>
      </c>
    </row>
    <row r="773" spans="1:18" x14ac:dyDescent="0.2">
      <c r="A773" s="49">
        <v>43381</v>
      </c>
      <c r="B773" t="s">
        <v>383</v>
      </c>
      <c r="C773" t="s">
        <v>132</v>
      </c>
      <c r="D773" t="s">
        <v>139</v>
      </c>
      <c r="E773" t="s">
        <v>139</v>
      </c>
      <c r="I773" s="49"/>
      <c r="J773" s="47">
        <v>0</v>
      </c>
      <c r="L773">
        <v>0</v>
      </c>
      <c r="N773">
        <v>0</v>
      </c>
      <c r="Q773" s="49"/>
      <c r="R773" s="49" t="str">
        <f>DataTable[HLD_Portfolio]&amp;DataTable[HLD_Date]</f>
        <v>SCBFPFUND43381</v>
      </c>
    </row>
    <row r="774" spans="1:18" x14ac:dyDescent="0.2">
      <c r="A774" s="49">
        <v>43381</v>
      </c>
      <c r="B774" t="s">
        <v>383</v>
      </c>
      <c r="C774" t="s">
        <v>140</v>
      </c>
      <c r="D774" t="s">
        <v>137</v>
      </c>
      <c r="E774" t="s">
        <v>137</v>
      </c>
      <c r="I774" s="49"/>
      <c r="J774" s="47">
        <v>-151407.26999999999</v>
      </c>
      <c r="L774">
        <v>-151407.26999999999</v>
      </c>
      <c r="N774">
        <v>0</v>
      </c>
      <c r="Q774" s="49"/>
      <c r="R774" s="49" t="str">
        <f>DataTable[HLD_Portfolio]&amp;DataTable[HLD_Date]</f>
        <v>SCBFPFUND43381</v>
      </c>
    </row>
    <row r="775" spans="1:18" x14ac:dyDescent="0.2">
      <c r="A775" s="49">
        <v>43381</v>
      </c>
      <c r="B775" t="s">
        <v>383</v>
      </c>
      <c r="C775" t="s">
        <v>140</v>
      </c>
      <c r="D775" t="s">
        <v>138</v>
      </c>
      <c r="E775" t="s">
        <v>138</v>
      </c>
      <c r="I775" s="49"/>
      <c r="J775" s="47">
        <v>-2058225.05</v>
      </c>
      <c r="L775">
        <v>-2058225.05</v>
      </c>
      <c r="N775">
        <v>0</v>
      </c>
      <c r="Q775" s="49"/>
      <c r="R775" s="49" t="str">
        <f>DataTable[HLD_Portfolio]&amp;DataTable[HLD_Date]</f>
        <v>SCBFPFUND43381</v>
      </c>
    </row>
    <row r="776" spans="1:18" x14ac:dyDescent="0.2">
      <c r="A776" s="49">
        <v>43381</v>
      </c>
      <c r="B776" t="s">
        <v>383</v>
      </c>
      <c r="C776" t="s">
        <v>140</v>
      </c>
      <c r="D776" t="s">
        <v>139</v>
      </c>
      <c r="E776" t="s">
        <v>139</v>
      </c>
      <c r="I776" s="49"/>
      <c r="J776" s="47">
        <v>0</v>
      </c>
      <c r="L776">
        <v>0</v>
      </c>
      <c r="N776">
        <v>0</v>
      </c>
      <c r="Q776" s="49"/>
      <c r="R776" s="49" t="str">
        <f>DataTable[HLD_Portfolio]&amp;DataTable[HLD_Date]</f>
        <v>SCBFPFUND43381</v>
      </c>
    </row>
    <row r="777" spans="1:18" x14ac:dyDescent="0.2">
      <c r="A777" s="49">
        <v>43381</v>
      </c>
      <c r="B777" t="s">
        <v>384</v>
      </c>
      <c r="C777" t="s">
        <v>803</v>
      </c>
      <c r="D777" t="s">
        <v>804</v>
      </c>
      <c r="E777" t="s">
        <v>804</v>
      </c>
      <c r="F777" t="s">
        <v>805</v>
      </c>
      <c r="G777" t="s">
        <v>806</v>
      </c>
      <c r="I777" s="49"/>
      <c r="J777" s="47">
        <v>47220440</v>
      </c>
      <c r="L777">
        <v>41788000</v>
      </c>
      <c r="M777">
        <v>0</v>
      </c>
      <c r="N777">
        <v>0</v>
      </c>
      <c r="O777" t="s">
        <v>807</v>
      </c>
      <c r="P777" t="s">
        <v>23</v>
      </c>
      <c r="Q777" s="49">
        <v>2</v>
      </c>
      <c r="R777" s="49" t="str">
        <f>DataTable[HLD_Portfolio]&amp;DataTable[HLD_Date]</f>
        <v>SCBPLUS43381</v>
      </c>
    </row>
    <row r="778" spans="1:18" x14ac:dyDescent="0.2">
      <c r="A778" s="49">
        <v>43381</v>
      </c>
      <c r="B778" t="s">
        <v>384</v>
      </c>
      <c r="C778" t="s">
        <v>803</v>
      </c>
      <c r="D778" t="s">
        <v>804</v>
      </c>
      <c r="E778" t="s">
        <v>804</v>
      </c>
      <c r="F778" t="s">
        <v>808</v>
      </c>
      <c r="G778" t="s">
        <v>809</v>
      </c>
      <c r="I778" s="49"/>
      <c r="J778" s="47">
        <v>57016080</v>
      </c>
      <c r="L778">
        <v>43224549.200000003</v>
      </c>
      <c r="M778">
        <v>0</v>
      </c>
      <c r="N778">
        <v>0</v>
      </c>
      <c r="O778" t="s">
        <v>807</v>
      </c>
      <c r="P778" t="s">
        <v>23</v>
      </c>
      <c r="Q778" s="49">
        <v>2</v>
      </c>
      <c r="R778" s="49" t="str">
        <f>DataTable[HLD_Portfolio]&amp;DataTable[HLD_Date]</f>
        <v>SCBPLUS43381</v>
      </c>
    </row>
    <row r="779" spans="1:18" x14ac:dyDescent="0.2">
      <c r="A779" s="49">
        <v>43381</v>
      </c>
      <c r="B779" t="s">
        <v>384</v>
      </c>
      <c r="C779" t="s">
        <v>803</v>
      </c>
      <c r="D779" t="s">
        <v>804</v>
      </c>
      <c r="E779" t="s">
        <v>804</v>
      </c>
      <c r="F779" t="s">
        <v>810</v>
      </c>
      <c r="G779" t="s">
        <v>806</v>
      </c>
      <c r="I779" s="49"/>
      <c r="J779" s="47">
        <v>534993600</v>
      </c>
      <c r="L779">
        <v>537468633.83000004</v>
      </c>
      <c r="M779">
        <v>0</v>
      </c>
      <c r="N779">
        <v>0</v>
      </c>
      <c r="O779" t="s">
        <v>807</v>
      </c>
      <c r="P779" t="s">
        <v>23</v>
      </c>
      <c r="Q779" s="49">
        <v>2</v>
      </c>
      <c r="R779" s="49" t="str">
        <f>DataTable[HLD_Portfolio]&amp;DataTable[HLD_Date]</f>
        <v>SCBPLUS43381</v>
      </c>
    </row>
    <row r="780" spans="1:18" x14ac:dyDescent="0.2">
      <c r="A780" s="49">
        <v>43381</v>
      </c>
      <c r="B780" t="s">
        <v>384</v>
      </c>
      <c r="C780" t="s">
        <v>803</v>
      </c>
      <c r="D780" t="s">
        <v>804</v>
      </c>
      <c r="E780" t="s">
        <v>804</v>
      </c>
      <c r="F780" t="s">
        <v>811</v>
      </c>
      <c r="G780" t="s">
        <v>812</v>
      </c>
      <c r="I780" s="49"/>
      <c r="J780" s="47">
        <v>271090800</v>
      </c>
      <c r="L780">
        <v>225886295.06999999</v>
      </c>
      <c r="M780">
        <v>0</v>
      </c>
      <c r="N780">
        <v>0</v>
      </c>
      <c r="O780" t="s">
        <v>807</v>
      </c>
      <c r="P780" t="s">
        <v>23</v>
      </c>
      <c r="Q780" s="49">
        <v>2</v>
      </c>
      <c r="R780" s="49" t="str">
        <f>DataTable[HLD_Portfolio]&amp;DataTable[HLD_Date]</f>
        <v>SCBPLUS43381</v>
      </c>
    </row>
    <row r="781" spans="1:18" x14ac:dyDescent="0.2">
      <c r="A781" s="49">
        <v>43381</v>
      </c>
      <c r="B781" t="s">
        <v>384</v>
      </c>
      <c r="C781" t="s">
        <v>803</v>
      </c>
      <c r="D781" t="s">
        <v>804</v>
      </c>
      <c r="E781" t="s">
        <v>804</v>
      </c>
      <c r="F781" t="s">
        <v>813</v>
      </c>
      <c r="G781" t="s">
        <v>814</v>
      </c>
      <c r="I781" s="49"/>
      <c r="J781" s="47">
        <v>523860000</v>
      </c>
      <c r="L781">
        <v>507269024.86000001</v>
      </c>
      <c r="M781">
        <v>0</v>
      </c>
      <c r="N781">
        <v>0</v>
      </c>
      <c r="O781" t="s">
        <v>807</v>
      </c>
      <c r="P781" t="s">
        <v>23</v>
      </c>
      <c r="Q781" s="49">
        <v>2</v>
      </c>
      <c r="R781" s="49" t="str">
        <f>DataTable[HLD_Portfolio]&amp;DataTable[HLD_Date]</f>
        <v>SCBPLUS43381</v>
      </c>
    </row>
    <row r="782" spans="1:18" x14ac:dyDescent="0.2">
      <c r="A782" s="49">
        <v>43381</v>
      </c>
      <c r="B782" t="s">
        <v>384</v>
      </c>
      <c r="C782" t="s">
        <v>803</v>
      </c>
      <c r="D782" t="s">
        <v>804</v>
      </c>
      <c r="E782" t="s">
        <v>804</v>
      </c>
      <c r="F782" t="s">
        <v>815</v>
      </c>
      <c r="G782" t="s">
        <v>816</v>
      </c>
      <c r="I782" s="49"/>
      <c r="J782" s="47">
        <v>135694720</v>
      </c>
      <c r="L782">
        <v>131762374.98</v>
      </c>
      <c r="M782">
        <v>0</v>
      </c>
      <c r="N782">
        <v>0</v>
      </c>
      <c r="O782" t="s">
        <v>807</v>
      </c>
      <c r="P782" t="s">
        <v>23</v>
      </c>
      <c r="Q782" s="49">
        <v>2</v>
      </c>
      <c r="R782" s="49" t="str">
        <f>DataTable[HLD_Portfolio]&amp;DataTable[HLD_Date]</f>
        <v>SCBPLUS43381</v>
      </c>
    </row>
    <row r="783" spans="1:18" x14ac:dyDescent="0.2">
      <c r="A783" s="49">
        <v>43381</v>
      </c>
      <c r="B783" t="s">
        <v>384</v>
      </c>
      <c r="C783" t="s">
        <v>803</v>
      </c>
      <c r="D783" t="s">
        <v>804</v>
      </c>
      <c r="E783" t="s">
        <v>804</v>
      </c>
      <c r="F783" t="s">
        <v>817</v>
      </c>
      <c r="G783" t="s">
        <v>818</v>
      </c>
      <c r="I783" s="49"/>
      <c r="J783" s="47">
        <v>308230500</v>
      </c>
      <c r="L783">
        <v>292567638.68000001</v>
      </c>
      <c r="M783">
        <v>0</v>
      </c>
      <c r="N783">
        <v>0</v>
      </c>
      <c r="O783" t="s">
        <v>807</v>
      </c>
      <c r="P783" t="s">
        <v>23</v>
      </c>
      <c r="Q783" s="49">
        <v>2</v>
      </c>
      <c r="R783" s="49" t="str">
        <f>DataTable[HLD_Portfolio]&amp;DataTable[HLD_Date]</f>
        <v>SCBPLUS43381</v>
      </c>
    </row>
    <row r="784" spans="1:18" x14ac:dyDescent="0.2">
      <c r="A784" s="49">
        <v>43381</v>
      </c>
      <c r="B784" t="s">
        <v>384</v>
      </c>
      <c r="C784" t="s">
        <v>803</v>
      </c>
      <c r="D784" t="s">
        <v>804</v>
      </c>
      <c r="E784" t="s">
        <v>804</v>
      </c>
      <c r="F784" t="s">
        <v>819</v>
      </c>
      <c r="G784" t="s">
        <v>820</v>
      </c>
      <c r="I784" s="49"/>
      <c r="J784" s="47">
        <v>68602224.599999994</v>
      </c>
      <c r="L784">
        <v>78733562.590000004</v>
      </c>
      <c r="M784">
        <v>0</v>
      </c>
      <c r="N784">
        <v>0</v>
      </c>
      <c r="O784" t="s">
        <v>807</v>
      </c>
      <c r="P784" t="s">
        <v>23</v>
      </c>
      <c r="Q784" s="49">
        <v>2</v>
      </c>
      <c r="R784" s="49" t="str">
        <f>DataTable[HLD_Portfolio]&amp;DataTable[HLD_Date]</f>
        <v>SCBPLUS43381</v>
      </c>
    </row>
    <row r="785" spans="1:18" x14ac:dyDescent="0.2">
      <c r="A785" s="49">
        <v>43381</v>
      </c>
      <c r="B785" t="s">
        <v>384</v>
      </c>
      <c r="C785" t="s">
        <v>803</v>
      </c>
      <c r="D785" t="s">
        <v>804</v>
      </c>
      <c r="E785" t="s">
        <v>804</v>
      </c>
      <c r="F785" t="s">
        <v>821</v>
      </c>
      <c r="G785" t="s">
        <v>822</v>
      </c>
      <c r="I785" s="49"/>
      <c r="J785" s="47">
        <v>112799960</v>
      </c>
      <c r="L785">
        <v>82992841.569999993</v>
      </c>
      <c r="M785">
        <v>0</v>
      </c>
      <c r="N785">
        <v>0</v>
      </c>
      <c r="O785" t="s">
        <v>807</v>
      </c>
      <c r="P785" t="s">
        <v>23</v>
      </c>
      <c r="Q785" s="49">
        <v>2</v>
      </c>
      <c r="R785" s="49" t="str">
        <f>DataTable[HLD_Portfolio]&amp;DataTable[HLD_Date]</f>
        <v>SCBPLUS43381</v>
      </c>
    </row>
    <row r="786" spans="1:18" x14ac:dyDescent="0.2">
      <c r="A786" s="49">
        <v>43381</v>
      </c>
      <c r="B786" t="s">
        <v>384</v>
      </c>
      <c r="C786" t="s">
        <v>803</v>
      </c>
      <c r="D786" t="s">
        <v>804</v>
      </c>
      <c r="E786" t="s">
        <v>804</v>
      </c>
      <c r="F786" t="s">
        <v>823</v>
      </c>
      <c r="G786" t="s">
        <v>806</v>
      </c>
      <c r="I786" s="49"/>
      <c r="J786" s="47">
        <v>859933610</v>
      </c>
      <c r="L786">
        <v>923593848.39999998</v>
      </c>
      <c r="M786">
        <v>0</v>
      </c>
      <c r="N786">
        <v>0</v>
      </c>
      <c r="O786" t="s">
        <v>807</v>
      </c>
      <c r="P786" t="s">
        <v>23</v>
      </c>
      <c r="Q786" s="49">
        <v>2</v>
      </c>
      <c r="R786" s="49" t="str">
        <f>DataTable[HLD_Portfolio]&amp;DataTable[HLD_Date]</f>
        <v>SCBPLUS43381</v>
      </c>
    </row>
    <row r="787" spans="1:18" x14ac:dyDescent="0.2">
      <c r="A787" s="49">
        <v>43381</v>
      </c>
      <c r="B787" t="s">
        <v>384</v>
      </c>
      <c r="C787" t="s">
        <v>803</v>
      </c>
      <c r="D787" t="s">
        <v>804</v>
      </c>
      <c r="E787" t="s">
        <v>804</v>
      </c>
      <c r="F787" t="s">
        <v>824</v>
      </c>
      <c r="G787" t="s">
        <v>825</v>
      </c>
      <c r="I787" s="49"/>
      <c r="J787" s="47">
        <v>144427050</v>
      </c>
      <c r="L787">
        <v>125769011.56999999</v>
      </c>
      <c r="M787">
        <v>0</v>
      </c>
      <c r="N787">
        <v>0</v>
      </c>
      <c r="O787" t="s">
        <v>807</v>
      </c>
      <c r="P787" t="s">
        <v>23</v>
      </c>
      <c r="Q787" s="49">
        <v>2</v>
      </c>
      <c r="R787" s="49" t="str">
        <f>DataTable[HLD_Portfolio]&amp;DataTable[HLD_Date]</f>
        <v>SCBPLUS43381</v>
      </c>
    </row>
    <row r="788" spans="1:18" x14ac:dyDescent="0.2">
      <c r="A788" s="49">
        <v>43381</v>
      </c>
      <c r="B788" t="s">
        <v>384</v>
      </c>
      <c r="C788" t="s">
        <v>803</v>
      </c>
      <c r="D788" t="s">
        <v>804</v>
      </c>
      <c r="E788" t="s">
        <v>804</v>
      </c>
      <c r="F788" t="s">
        <v>826</v>
      </c>
      <c r="G788" t="s">
        <v>827</v>
      </c>
      <c r="I788" s="49"/>
      <c r="J788" s="47">
        <v>30360350</v>
      </c>
      <c r="L788">
        <v>32450126.739999998</v>
      </c>
      <c r="M788">
        <v>0</v>
      </c>
      <c r="N788">
        <v>0</v>
      </c>
      <c r="O788" t="s">
        <v>807</v>
      </c>
      <c r="P788" t="s">
        <v>23</v>
      </c>
      <c r="Q788" s="49">
        <v>2</v>
      </c>
      <c r="R788" s="49" t="str">
        <f>DataTable[HLD_Portfolio]&amp;DataTable[HLD_Date]</f>
        <v>SCBPLUS43381</v>
      </c>
    </row>
    <row r="789" spans="1:18" x14ac:dyDescent="0.2">
      <c r="A789" s="49">
        <v>43381</v>
      </c>
      <c r="B789" t="s">
        <v>384</v>
      </c>
      <c r="C789" t="s">
        <v>803</v>
      </c>
      <c r="D789" t="s">
        <v>804</v>
      </c>
      <c r="E789" t="s">
        <v>804</v>
      </c>
      <c r="F789" t="s">
        <v>828</v>
      </c>
      <c r="G789" t="s">
        <v>829</v>
      </c>
      <c r="I789" s="49"/>
      <c r="J789" s="47">
        <v>157066930</v>
      </c>
      <c r="L789">
        <v>151124972.58000001</v>
      </c>
      <c r="M789">
        <v>0</v>
      </c>
      <c r="N789">
        <v>0</v>
      </c>
      <c r="O789" t="s">
        <v>807</v>
      </c>
      <c r="P789" t="s">
        <v>23</v>
      </c>
      <c r="Q789" s="49">
        <v>2</v>
      </c>
      <c r="R789" s="49" t="str">
        <f>DataTable[HLD_Portfolio]&amp;DataTable[HLD_Date]</f>
        <v>SCBPLUS43381</v>
      </c>
    </row>
    <row r="790" spans="1:18" x14ac:dyDescent="0.2">
      <c r="A790" s="49">
        <v>43381</v>
      </c>
      <c r="B790" t="s">
        <v>384</v>
      </c>
      <c r="C790" t="s">
        <v>803</v>
      </c>
      <c r="D790" t="s">
        <v>804</v>
      </c>
      <c r="E790" t="s">
        <v>804</v>
      </c>
      <c r="F790" t="s">
        <v>830</v>
      </c>
      <c r="G790" t="s">
        <v>816</v>
      </c>
      <c r="I790" s="49"/>
      <c r="J790" s="47">
        <v>323320000</v>
      </c>
      <c r="L790">
        <v>272606356</v>
      </c>
      <c r="M790">
        <v>0</v>
      </c>
      <c r="N790">
        <v>0</v>
      </c>
      <c r="O790" t="s">
        <v>807</v>
      </c>
      <c r="P790" t="s">
        <v>23</v>
      </c>
      <c r="Q790" s="49">
        <v>2</v>
      </c>
      <c r="R790" s="49" t="str">
        <f>DataTable[HLD_Portfolio]&amp;DataTable[HLD_Date]</f>
        <v>SCBPLUS43381</v>
      </c>
    </row>
    <row r="791" spans="1:18" x14ac:dyDescent="0.2">
      <c r="A791" s="49">
        <v>43381</v>
      </c>
      <c r="B791" t="s">
        <v>384</v>
      </c>
      <c r="C791" t="s">
        <v>803</v>
      </c>
      <c r="D791" t="s">
        <v>804</v>
      </c>
      <c r="E791" t="s">
        <v>804</v>
      </c>
      <c r="F791" t="s">
        <v>724</v>
      </c>
      <c r="G791" t="s">
        <v>831</v>
      </c>
      <c r="I791" s="49"/>
      <c r="J791" s="47">
        <v>325445569.39999998</v>
      </c>
      <c r="L791">
        <v>280619096.83999997</v>
      </c>
      <c r="M791">
        <v>0</v>
      </c>
      <c r="N791">
        <v>0</v>
      </c>
      <c r="O791" t="s">
        <v>807</v>
      </c>
      <c r="P791" t="s">
        <v>23</v>
      </c>
      <c r="Q791" s="49">
        <v>2</v>
      </c>
      <c r="R791" s="49" t="str">
        <f>DataTable[HLD_Portfolio]&amp;DataTable[HLD_Date]</f>
        <v>SCBPLUS43381</v>
      </c>
    </row>
    <row r="792" spans="1:18" x14ac:dyDescent="0.2">
      <c r="A792" s="49">
        <v>43381</v>
      </c>
      <c r="B792" t="s">
        <v>384</v>
      </c>
      <c r="C792" t="s">
        <v>803</v>
      </c>
      <c r="D792" t="s">
        <v>804</v>
      </c>
      <c r="E792" t="s">
        <v>804</v>
      </c>
      <c r="F792" t="s">
        <v>252</v>
      </c>
      <c r="G792" t="s">
        <v>832</v>
      </c>
      <c r="I792" s="49"/>
      <c r="J792" s="47">
        <v>369112194</v>
      </c>
      <c r="L792">
        <v>352375211.10000002</v>
      </c>
      <c r="M792">
        <v>0</v>
      </c>
      <c r="N792">
        <v>0</v>
      </c>
      <c r="O792" t="s">
        <v>807</v>
      </c>
      <c r="P792" t="s">
        <v>23</v>
      </c>
      <c r="Q792" s="49">
        <v>2</v>
      </c>
      <c r="R792" s="49" t="str">
        <f>DataTable[HLD_Portfolio]&amp;DataTable[HLD_Date]</f>
        <v>SCBPLUS43381</v>
      </c>
    </row>
    <row r="793" spans="1:18" x14ac:dyDescent="0.2">
      <c r="A793" s="49">
        <v>43381</v>
      </c>
      <c r="B793" t="s">
        <v>384</v>
      </c>
      <c r="C793" t="s">
        <v>18</v>
      </c>
      <c r="D793" t="s">
        <v>19</v>
      </c>
      <c r="F793" t="s">
        <v>20</v>
      </c>
      <c r="G793" t="s">
        <v>149</v>
      </c>
      <c r="I793" s="49"/>
      <c r="J793" s="47">
        <v>4534915.28</v>
      </c>
      <c r="K793">
        <v>10308.64</v>
      </c>
      <c r="L793">
        <v>4534915.28</v>
      </c>
      <c r="M793">
        <v>0</v>
      </c>
      <c r="N793">
        <v>0</v>
      </c>
      <c r="O793" t="s">
        <v>22</v>
      </c>
      <c r="P793" t="s">
        <v>23</v>
      </c>
      <c r="Q793" s="49">
        <v>2</v>
      </c>
      <c r="R793" s="49" t="str">
        <f>DataTable[HLD_Portfolio]&amp;DataTable[HLD_Date]</f>
        <v>SCBPLUS43381</v>
      </c>
    </row>
    <row r="794" spans="1:18" x14ac:dyDescent="0.2">
      <c r="A794" s="49">
        <v>43381</v>
      </c>
      <c r="B794" t="s">
        <v>384</v>
      </c>
      <c r="C794" t="s">
        <v>18</v>
      </c>
      <c r="D794" t="s">
        <v>19</v>
      </c>
      <c r="F794" t="s">
        <v>145</v>
      </c>
      <c r="G794" t="s">
        <v>146</v>
      </c>
      <c r="I794" s="49"/>
      <c r="J794" s="47">
        <v>0</v>
      </c>
      <c r="L794">
        <v>0</v>
      </c>
      <c r="M794">
        <v>0</v>
      </c>
      <c r="N794">
        <v>0</v>
      </c>
      <c r="O794" t="s">
        <v>22</v>
      </c>
      <c r="P794" t="s">
        <v>147</v>
      </c>
      <c r="Q794" s="49">
        <v>2</v>
      </c>
      <c r="R794" s="49" t="str">
        <f>DataTable[HLD_Portfolio]&amp;DataTable[HLD_Date]</f>
        <v>SCBPLUS43381</v>
      </c>
    </row>
    <row r="795" spans="1:18" x14ac:dyDescent="0.2">
      <c r="A795" s="49">
        <v>43381</v>
      </c>
      <c r="B795" t="s">
        <v>384</v>
      </c>
      <c r="C795" t="s">
        <v>18</v>
      </c>
      <c r="D795" t="s">
        <v>19</v>
      </c>
      <c r="F795" t="s">
        <v>25</v>
      </c>
      <c r="G795" t="s">
        <v>26</v>
      </c>
      <c r="H795" t="s">
        <v>27</v>
      </c>
      <c r="I795" s="49"/>
      <c r="J795" s="47">
        <v>0</v>
      </c>
      <c r="L795">
        <v>0</v>
      </c>
      <c r="M795">
        <v>0</v>
      </c>
      <c r="N795">
        <v>0</v>
      </c>
      <c r="O795" t="s">
        <v>22</v>
      </c>
      <c r="P795" t="s">
        <v>28</v>
      </c>
      <c r="Q795" s="49">
        <v>2</v>
      </c>
      <c r="R795" s="49" t="str">
        <f>DataTable[HLD_Portfolio]&amp;DataTable[HLD_Date]</f>
        <v>SCBPLUS43381</v>
      </c>
    </row>
    <row r="796" spans="1:18" x14ac:dyDescent="0.2">
      <c r="A796" s="49">
        <v>43381</v>
      </c>
      <c r="B796" t="s">
        <v>384</v>
      </c>
      <c r="C796" t="s">
        <v>18</v>
      </c>
      <c r="D796" t="s">
        <v>19</v>
      </c>
      <c r="F796" t="s">
        <v>30</v>
      </c>
      <c r="G796" t="s">
        <v>26</v>
      </c>
      <c r="H796" t="s">
        <v>27</v>
      </c>
      <c r="I796" s="49"/>
      <c r="J796" s="47">
        <v>0</v>
      </c>
      <c r="L796">
        <v>0</v>
      </c>
      <c r="M796">
        <v>0</v>
      </c>
      <c r="N796">
        <v>0</v>
      </c>
      <c r="O796" t="s">
        <v>22</v>
      </c>
      <c r="P796" t="s">
        <v>31</v>
      </c>
      <c r="Q796" s="49">
        <v>2</v>
      </c>
      <c r="R796" s="49" t="str">
        <f>DataTable[HLD_Portfolio]&amp;DataTable[HLD_Date]</f>
        <v>SCBPLUS43381</v>
      </c>
    </row>
    <row r="797" spans="1:18" x14ac:dyDescent="0.2">
      <c r="A797" s="49">
        <v>43381</v>
      </c>
      <c r="B797" t="s">
        <v>384</v>
      </c>
      <c r="C797" t="s">
        <v>18</v>
      </c>
      <c r="D797" t="s">
        <v>19</v>
      </c>
      <c r="F797" t="s">
        <v>32</v>
      </c>
      <c r="G797" t="s">
        <v>26</v>
      </c>
      <c r="H797" t="s">
        <v>27</v>
      </c>
      <c r="I797" s="49"/>
      <c r="J797" s="47">
        <v>0</v>
      </c>
      <c r="L797">
        <v>0</v>
      </c>
      <c r="M797">
        <v>0</v>
      </c>
      <c r="N797">
        <v>0</v>
      </c>
      <c r="O797" t="s">
        <v>22</v>
      </c>
      <c r="P797" t="s">
        <v>33</v>
      </c>
      <c r="Q797" s="49">
        <v>2</v>
      </c>
      <c r="R797" s="49" t="str">
        <f>DataTable[HLD_Portfolio]&amp;DataTable[HLD_Date]</f>
        <v>SCBPLUS43381</v>
      </c>
    </row>
    <row r="798" spans="1:18" x14ac:dyDescent="0.2">
      <c r="A798" s="49">
        <v>43381</v>
      </c>
      <c r="B798" t="s">
        <v>384</v>
      </c>
      <c r="C798" t="s">
        <v>18</v>
      </c>
      <c r="D798" t="s">
        <v>19</v>
      </c>
      <c r="F798" t="s">
        <v>151</v>
      </c>
      <c r="G798" t="s">
        <v>26</v>
      </c>
      <c r="H798" t="s">
        <v>27</v>
      </c>
      <c r="I798" s="49"/>
      <c r="J798" s="47">
        <v>0</v>
      </c>
      <c r="L798">
        <v>0</v>
      </c>
      <c r="M798">
        <v>0</v>
      </c>
      <c r="N798">
        <v>0</v>
      </c>
      <c r="O798" t="s">
        <v>22</v>
      </c>
      <c r="P798" t="s">
        <v>152</v>
      </c>
      <c r="Q798" s="49">
        <v>2</v>
      </c>
      <c r="R798" s="49" t="str">
        <f>DataTable[HLD_Portfolio]&amp;DataTable[HLD_Date]</f>
        <v>SCBPLUS43381</v>
      </c>
    </row>
    <row r="799" spans="1:18" x14ac:dyDescent="0.2">
      <c r="A799" s="49">
        <v>43381</v>
      </c>
      <c r="B799" t="s">
        <v>384</v>
      </c>
      <c r="C799" t="s">
        <v>18</v>
      </c>
      <c r="D799" t="s">
        <v>19</v>
      </c>
      <c r="F799" t="s">
        <v>36</v>
      </c>
      <c r="G799" t="s">
        <v>26</v>
      </c>
      <c r="H799" t="s">
        <v>27</v>
      </c>
      <c r="I799" s="49"/>
      <c r="J799" s="47">
        <v>0</v>
      </c>
      <c r="L799">
        <v>0</v>
      </c>
      <c r="M799">
        <v>0</v>
      </c>
      <c r="N799">
        <v>0</v>
      </c>
      <c r="O799" t="s">
        <v>22</v>
      </c>
      <c r="P799" t="s">
        <v>37</v>
      </c>
      <c r="Q799" s="49">
        <v>2</v>
      </c>
      <c r="R799" s="49" t="str">
        <f>DataTable[HLD_Portfolio]&amp;DataTable[HLD_Date]</f>
        <v>SCBPLUS43381</v>
      </c>
    </row>
    <row r="800" spans="1:18" x14ac:dyDescent="0.2">
      <c r="A800" s="49">
        <v>43381</v>
      </c>
      <c r="B800" t="s">
        <v>384</v>
      </c>
      <c r="C800" t="s">
        <v>18</v>
      </c>
      <c r="D800" t="s">
        <v>38</v>
      </c>
      <c r="F800" t="s">
        <v>833</v>
      </c>
      <c r="G800" t="s">
        <v>834</v>
      </c>
      <c r="H800" t="s">
        <v>126</v>
      </c>
      <c r="I800" s="49">
        <v>43384</v>
      </c>
      <c r="J800" s="47">
        <v>343075357.5</v>
      </c>
      <c r="L800">
        <v>343075738.63999999</v>
      </c>
      <c r="M800">
        <v>0</v>
      </c>
      <c r="N800">
        <v>2.7</v>
      </c>
      <c r="O800" t="s">
        <v>42</v>
      </c>
      <c r="P800" t="s">
        <v>37</v>
      </c>
      <c r="Q800" s="49">
        <v>43207</v>
      </c>
      <c r="R800" s="49" t="str">
        <f>DataTable[HLD_Portfolio]&amp;DataTable[HLD_Date]</f>
        <v>SCBPLUS43381</v>
      </c>
    </row>
    <row r="801" spans="1:18" x14ac:dyDescent="0.2">
      <c r="A801" s="49">
        <v>43381</v>
      </c>
      <c r="B801" t="s">
        <v>384</v>
      </c>
      <c r="C801" t="s">
        <v>18</v>
      </c>
      <c r="D801" t="s">
        <v>38</v>
      </c>
      <c r="F801" t="s">
        <v>835</v>
      </c>
      <c r="G801" t="s">
        <v>836</v>
      </c>
      <c r="H801" t="s">
        <v>538</v>
      </c>
      <c r="I801" s="49">
        <v>43614</v>
      </c>
      <c r="J801" s="47">
        <v>560881000</v>
      </c>
      <c r="K801">
        <v>6987642.46</v>
      </c>
      <c r="L801">
        <v>544867000</v>
      </c>
      <c r="M801">
        <v>0.63404799999999994</v>
      </c>
      <c r="N801">
        <v>3.25</v>
      </c>
      <c r="O801" t="s">
        <v>42</v>
      </c>
      <c r="P801" t="s">
        <v>37</v>
      </c>
      <c r="Q801" s="49">
        <v>43244</v>
      </c>
      <c r="R801" s="49" t="str">
        <f>DataTable[HLD_Portfolio]&amp;DataTable[HLD_Date]</f>
        <v>SCBPLUS43381</v>
      </c>
    </row>
    <row r="802" spans="1:18" x14ac:dyDescent="0.2">
      <c r="A802" s="49">
        <v>43381</v>
      </c>
      <c r="B802" t="s">
        <v>384</v>
      </c>
      <c r="C802" t="s">
        <v>18</v>
      </c>
      <c r="D802" t="s">
        <v>38</v>
      </c>
      <c r="F802" t="s">
        <v>837</v>
      </c>
      <c r="G802" t="s">
        <v>182</v>
      </c>
      <c r="H802" t="s">
        <v>51</v>
      </c>
      <c r="I802" s="49">
        <v>43648</v>
      </c>
      <c r="J802" s="47">
        <v>1032996194</v>
      </c>
      <c r="K802">
        <v>10295528.73</v>
      </c>
      <c r="L802">
        <v>1029514267.01</v>
      </c>
      <c r="M802">
        <v>0.72333899999999995</v>
      </c>
      <c r="N802">
        <v>3.45</v>
      </c>
      <c r="O802" t="s">
        <v>42</v>
      </c>
      <c r="P802" t="s">
        <v>147</v>
      </c>
      <c r="Q802" s="49">
        <v>43278</v>
      </c>
      <c r="R802" s="49" t="str">
        <f>DataTable[HLD_Portfolio]&amp;DataTable[HLD_Date]</f>
        <v>SCBPLUS43381</v>
      </c>
    </row>
    <row r="803" spans="1:18" x14ac:dyDescent="0.2">
      <c r="A803" s="49">
        <v>43381</v>
      </c>
      <c r="B803" t="s">
        <v>384</v>
      </c>
      <c r="C803" t="s">
        <v>18</v>
      </c>
      <c r="D803" t="s">
        <v>38</v>
      </c>
      <c r="F803" t="s">
        <v>838</v>
      </c>
      <c r="G803" t="s">
        <v>149</v>
      </c>
      <c r="H803" t="s">
        <v>27</v>
      </c>
      <c r="I803" s="49">
        <v>44196</v>
      </c>
      <c r="J803" s="47">
        <v>16247974.619999999</v>
      </c>
      <c r="K803">
        <v>1913.59</v>
      </c>
      <c r="L803">
        <v>15789807.15</v>
      </c>
      <c r="M803">
        <v>0</v>
      </c>
      <c r="N803">
        <v>0</v>
      </c>
      <c r="O803" t="s">
        <v>42</v>
      </c>
      <c r="P803" t="s">
        <v>37</v>
      </c>
      <c r="Q803" s="49">
        <v>42450</v>
      </c>
      <c r="R803" s="49" t="str">
        <f>DataTable[HLD_Portfolio]&amp;DataTable[HLD_Date]</f>
        <v>SCBPLUS43381</v>
      </c>
    </row>
    <row r="804" spans="1:18" x14ac:dyDescent="0.2">
      <c r="A804" s="49">
        <v>43381</v>
      </c>
      <c r="B804" t="s">
        <v>384</v>
      </c>
      <c r="C804" t="s">
        <v>18</v>
      </c>
      <c r="D804" t="s">
        <v>38</v>
      </c>
      <c r="F804" t="s">
        <v>839</v>
      </c>
      <c r="G804" t="s">
        <v>75</v>
      </c>
      <c r="H804" t="s">
        <v>59</v>
      </c>
      <c r="I804" s="49">
        <v>44196</v>
      </c>
      <c r="J804" s="47">
        <v>36153570.5</v>
      </c>
      <c r="K804">
        <v>103289.14</v>
      </c>
      <c r="L804">
        <v>36153570.5</v>
      </c>
      <c r="M804">
        <v>0</v>
      </c>
      <c r="N804">
        <v>0</v>
      </c>
      <c r="O804" t="s">
        <v>42</v>
      </c>
      <c r="P804" t="s">
        <v>23</v>
      </c>
      <c r="Q804" s="49">
        <v>42450</v>
      </c>
      <c r="R804" s="49" t="str">
        <f>DataTable[HLD_Portfolio]&amp;DataTable[HLD_Date]</f>
        <v>SCBPLUS43381</v>
      </c>
    </row>
    <row r="805" spans="1:18" x14ac:dyDescent="0.2">
      <c r="A805" s="49">
        <v>43381</v>
      </c>
      <c r="B805" t="s">
        <v>384</v>
      </c>
      <c r="C805" t="s">
        <v>18</v>
      </c>
      <c r="D805" t="s">
        <v>77</v>
      </c>
      <c r="F805" t="s">
        <v>596</v>
      </c>
      <c r="G805" t="s">
        <v>247</v>
      </c>
      <c r="H805" t="s">
        <v>29</v>
      </c>
      <c r="I805" s="49">
        <v>43550</v>
      </c>
      <c r="J805" s="47">
        <v>163188057.44999999</v>
      </c>
      <c r="L805">
        <v>163271557.34999999</v>
      </c>
      <c r="M805">
        <v>0.45521899999999998</v>
      </c>
      <c r="N805">
        <v>2.2999999999999998</v>
      </c>
      <c r="O805" t="s">
        <v>42</v>
      </c>
      <c r="P805" t="s">
        <v>23</v>
      </c>
      <c r="Q805" s="49">
        <v>43280</v>
      </c>
      <c r="R805" s="49" t="str">
        <f>DataTable[HLD_Portfolio]&amp;DataTable[HLD_Date]</f>
        <v>SCBPLUS43381</v>
      </c>
    </row>
    <row r="806" spans="1:18" x14ac:dyDescent="0.2">
      <c r="A806" s="49">
        <v>43381</v>
      </c>
      <c r="B806" t="s">
        <v>384</v>
      </c>
      <c r="C806" t="s">
        <v>18</v>
      </c>
      <c r="D806" t="s">
        <v>89</v>
      </c>
      <c r="F806" t="s">
        <v>317</v>
      </c>
      <c r="G806" t="s">
        <v>91</v>
      </c>
      <c r="I806" s="49">
        <v>43440</v>
      </c>
      <c r="J806" s="47">
        <v>400173342.50999999</v>
      </c>
      <c r="L806">
        <v>400121224.54000002</v>
      </c>
      <c r="M806">
        <v>0.15851100000000001</v>
      </c>
      <c r="N806">
        <v>1.3821349999999999</v>
      </c>
      <c r="O806" t="s">
        <v>42</v>
      </c>
      <c r="P806" t="s">
        <v>23</v>
      </c>
      <c r="Q806" s="49">
        <v>43076</v>
      </c>
      <c r="R806" s="49" t="str">
        <f>DataTable[HLD_Portfolio]&amp;DataTable[HLD_Date]</f>
        <v>SCBPLUS43381</v>
      </c>
    </row>
    <row r="807" spans="1:18" x14ac:dyDescent="0.2">
      <c r="A807" s="49">
        <v>43381</v>
      </c>
      <c r="B807" t="s">
        <v>384</v>
      </c>
      <c r="C807" t="s">
        <v>18</v>
      </c>
      <c r="D807" t="s">
        <v>89</v>
      </c>
      <c r="F807" t="s">
        <v>90</v>
      </c>
      <c r="G807" t="s">
        <v>91</v>
      </c>
      <c r="I807" s="49">
        <v>43440</v>
      </c>
      <c r="J807" s="47">
        <v>189608316.90000001</v>
      </c>
      <c r="L807">
        <v>189595509</v>
      </c>
      <c r="M807">
        <v>0.158583</v>
      </c>
      <c r="N807">
        <v>1.342595</v>
      </c>
      <c r="O807" t="s">
        <v>42</v>
      </c>
      <c r="P807" t="s">
        <v>23</v>
      </c>
      <c r="Q807" s="49">
        <v>43349</v>
      </c>
      <c r="R807" s="49" t="str">
        <f>DataTable[HLD_Portfolio]&amp;DataTable[HLD_Date]</f>
        <v>SCBPLUS43381</v>
      </c>
    </row>
    <row r="808" spans="1:18" x14ac:dyDescent="0.2">
      <c r="A808" s="49">
        <v>43381</v>
      </c>
      <c r="B808" t="s">
        <v>384</v>
      </c>
      <c r="C808" t="s">
        <v>18</v>
      </c>
      <c r="D808" t="s">
        <v>89</v>
      </c>
      <c r="F808" t="s">
        <v>210</v>
      </c>
      <c r="G808" t="s">
        <v>91</v>
      </c>
      <c r="I808" s="49">
        <v>43447</v>
      </c>
      <c r="J808" s="47">
        <v>9975484.9000000004</v>
      </c>
      <c r="L808">
        <v>9975484.9000000004</v>
      </c>
      <c r="M808">
        <v>0.17763799999999999</v>
      </c>
      <c r="N808">
        <v>1.38</v>
      </c>
      <c r="O808" t="s">
        <v>42</v>
      </c>
      <c r="P808" t="s">
        <v>23</v>
      </c>
      <c r="Q808" s="49">
        <v>43265</v>
      </c>
      <c r="R808" s="49" t="str">
        <f>DataTable[HLD_Portfolio]&amp;DataTable[HLD_Date]</f>
        <v>SCBPLUS43381</v>
      </c>
    </row>
    <row r="809" spans="1:18" x14ac:dyDescent="0.2">
      <c r="A809" s="49">
        <v>43381</v>
      </c>
      <c r="B809" t="s">
        <v>384</v>
      </c>
      <c r="C809" t="s">
        <v>18</v>
      </c>
      <c r="D809" t="s">
        <v>89</v>
      </c>
      <c r="F809" t="s">
        <v>92</v>
      </c>
      <c r="G809" t="s">
        <v>91</v>
      </c>
      <c r="I809" s="49">
        <v>43447</v>
      </c>
      <c r="J809" s="47">
        <v>69835838.099999994</v>
      </c>
      <c r="L809">
        <v>69835838.099999994</v>
      </c>
      <c r="M809">
        <v>0.177673</v>
      </c>
      <c r="N809">
        <v>1.32</v>
      </c>
      <c r="O809" t="s">
        <v>42</v>
      </c>
      <c r="P809" t="s">
        <v>23</v>
      </c>
      <c r="Q809" s="49">
        <v>43356</v>
      </c>
      <c r="R809" s="49" t="str">
        <f>DataTable[HLD_Portfolio]&amp;DataTable[HLD_Date]</f>
        <v>SCBPLUS43381</v>
      </c>
    </row>
    <row r="810" spans="1:18" x14ac:dyDescent="0.2">
      <c r="A810" s="49">
        <v>43381</v>
      </c>
      <c r="B810" t="s">
        <v>384</v>
      </c>
      <c r="C810" t="s">
        <v>18</v>
      </c>
      <c r="D810" t="s">
        <v>89</v>
      </c>
      <c r="F810" t="s">
        <v>211</v>
      </c>
      <c r="G810" t="s">
        <v>91</v>
      </c>
      <c r="I810" s="49">
        <v>43461</v>
      </c>
      <c r="J810" s="47">
        <v>29910661.5</v>
      </c>
      <c r="L810">
        <v>29911145.399999999</v>
      </c>
      <c r="M810">
        <v>0.21576100000000001</v>
      </c>
      <c r="N810">
        <v>1.3725000000000001</v>
      </c>
      <c r="O810" t="s">
        <v>42</v>
      </c>
      <c r="P810" t="s">
        <v>23</v>
      </c>
      <c r="Q810" s="49">
        <v>43370</v>
      </c>
      <c r="R810" s="49" t="str">
        <f>DataTable[HLD_Portfolio]&amp;DataTable[HLD_Date]</f>
        <v>SCBPLUS43381</v>
      </c>
    </row>
    <row r="811" spans="1:18" x14ac:dyDescent="0.2">
      <c r="A811" s="49">
        <v>43381</v>
      </c>
      <c r="B811" t="s">
        <v>384</v>
      </c>
      <c r="C811" t="s">
        <v>18</v>
      </c>
      <c r="D811" t="s">
        <v>89</v>
      </c>
      <c r="F811" t="s">
        <v>212</v>
      </c>
      <c r="G811" t="s">
        <v>91</v>
      </c>
      <c r="I811" s="49">
        <v>43405</v>
      </c>
      <c r="J811" s="47">
        <v>195845277.59999999</v>
      </c>
      <c r="L811">
        <v>195841857.40000001</v>
      </c>
      <c r="M811">
        <v>6.2966999999999995E-2</v>
      </c>
      <c r="N811">
        <v>1.281463</v>
      </c>
      <c r="O811" t="s">
        <v>42</v>
      </c>
      <c r="P811" t="s">
        <v>23</v>
      </c>
      <c r="Q811" s="49">
        <v>43223</v>
      </c>
      <c r="R811" s="49" t="str">
        <f>DataTable[HLD_Portfolio]&amp;DataTable[HLD_Date]</f>
        <v>SCBPLUS43381</v>
      </c>
    </row>
    <row r="812" spans="1:18" x14ac:dyDescent="0.2">
      <c r="A812" s="49">
        <v>43381</v>
      </c>
      <c r="B812" t="s">
        <v>384</v>
      </c>
      <c r="C812" t="s">
        <v>18</v>
      </c>
      <c r="D812" t="s">
        <v>89</v>
      </c>
      <c r="F812" t="s">
        <v>95</v>
      </c>
      <c r="G812" t="s">
        <v>91</v>
      </c>
      <c r="I812" s="49">
        <v>43412</v>
      </c>
      <c r="J812" s="47">
        <v>389594926.5</v>
      </c>
      <c r="L812">
        <v>389548309.80000001</v>
      </c>
      <c r="M812">
        <v>8.2113000000000005E-2</v>
      </c>
      <c r="N812">
        <v>1.410752</v>
      </c>
      <c r="O812" t="s">
        <v>42</v>
      </c>
      <c r="P812" t="s">
        <v>23</v>
      </c>
      <c r="Q812" s="49">
        <v>43230</v>
      </c>
      <c r="R812" s="49" t="str">
        <f>DataTable[HLD_Portfolio]&amp;DataTable[HLD_Date]</f>
        <v>SCBPLUS43381</v>
      </c>
    </row>
    <row r="813" spans="1:18" x14ac:dyDescent="0.2">
      <c r="A813" s="49">
        <v>43381</v>
      </c>
      <c r="B813" t="s">
        <v>384</v>
      </c>
      <c r="C813" t="s">
        <v>18</v>
      </c>
      <c r="D813" t="s">
        <v>89</v>
      </c>
      <c r="F813" t="s">
        <v>97</v>
      </c>
      <c r="G813" t="s">
        <v>91</v>
      </c>
      <c r="I813" s="49">
        <v>43419</v>
      </c>
      <c r="J813" s="47">
        <v>159796707.19999999</v>
      </c>
      <c r="L813">
        <v>159770574.40000001</v>
      </c>
      <c r="M813">
        <v>0.10124900000000001</v>
      </c>
      <c r="N813">
        <v>1.416563</v>
      </c>
      <c r="O813" t="s">
        <v>42</v>
      </c>
      <c r="P813" t="s">
        <v>23</v>
      </c>
      <c r="Q813" s="49">
        <v>43237</v>
      </c>
      <c r="R813" s="49" t="str">
        <f>DataTable[HLD_Portfolio]&amp;DataTable[HLD_Date]</f>
        <v>SCBPLUS43381</v>
      </c>
    </row>
    <row r="814" spans="1:18" x14ac:dyDescent="0.2">
      <c r="A814" s="49">
        <v>43381</v>
      </c>
      <c r="B814" t="s">
        <v>384</v>
      </c>
      <c r="C814" t="s">
        <v>18</v>
      </c>
      <c r="D814" t="s">
        <v>89</v>
      </c>
      <c r="F814" t="s">
        <v>99</v>
      </c>
      <c r="G814" t="s">
        <v>91</v>
      </c>
      <c r="I814" s="49">
        <v>43426</v>
      </c>
      <c r="J814" s="47">
        <v>279562704.39999998</v>
      </c>
      <c r="L814">
        <v>279568620.80000001</v>
      </c>
      <c r="M814">
        <v>0.120375</v>
      </c>
      <c r="N814">
        <v>1.28</v>
      </c>
      <c r="O814" t="s">
        <v>42</v>
      </c>
      <c r="P814" t="s">
        <v>23</v>
      </c>
      <c r="Q814" s="49">
        <v>43244</v>
      </c>
      <c r="R814" s="49" t="str">
        <f>DataTable[HLD_Portfolio]&amp;DataTable[HLD_Date]</f>
        <v>SCBPLUS43381</v>
      </c>
    </row>
    <row r="815" spans="1:18" x14ac:dyDescent="0.2">
      <c r="A815" s="49">
        <v>43381</v>
      </c>
      <c r="B815" t="s">
        <v>384</v>
      </c>
      <c r="C815" t="s">
        <v>18</v>
      </c>
      <c r="D815" t="s">
        <v>89</v>
      </c>
      <c r="F815" t="s">
        <v>101</v>
      </c>
      <c r="G815" t="s">
        <v>91</v>
      </c>
      <c r="I815" s="49">
        <v>43433</v>
      </c>
      <c r="J815" s="47">
        <v>89839114.200000003</v>
      </c>
      <c r="L815">
        <v>89819279.099999994</v>
      </c>
      <c r="M815">
        <v>0.13947999999999999</v>
      </c>
      <c r="N815">
        <v>1.44</v>
      </c>
      <c r="O815" t="s">
        <v>42</v>
      </c>
      <c r="P815" t="s">
        <v>23</v>
      </c>
      <c r="Q815" s="49">
        <v>43251</v>
      </c>
      <c r="R815" s="49" t="str">
        <f>DataTable[HLD_Portfolio]&amp;DataTable[HLD_Date]</f>
        <v>SCBPLUS43381</v>
      </c>
    </row>
    <row r="816" spans="1:18" x14ac:dyDescent="0.2">
      <c r="A816" s="49">
        <v>43381</v>
      </c>
      <c r="B816" t="s">
        <v>384</v>
      </c>
      <c r="C816" t="s">
        <v>18</v>
      </c>
      <c r="D816" t="s">
        <v>89</v>
      </c>
      <c r="F816" t="s">
        <v>103</v>
      </c>
      <c r="G816" t="s">
        <v>91</v>
      </c>
      <c r="I816" s="49">
        <v>43382</v>
      </c>
      <c r="J816" s="47">
        <v>36000000</v>
      </c>
      <c r="L816">
        <v>36000000</v>
      </c>
      <c r="M816">
        <v>2.7399999999999998E-3</v>
      </c>
      <c r="N816">
        <v>1.155</v>
      </c>
      <c r="O816" t="s">
        <v>42</v>
      </c>
      <c r="P816" t="s">
        <v>23</v>
      </c>
      <c r="Q816" s="49">
        <v>43368</v>
      </c>
      <c r="R816" s="49" t="str">
        <f>DataTable[HLD_Portfolio]&amp;DataTable[HLD_Date]</f>
        <v>SCBPLUS43381</v>
      </c>
    </row>
    <row r="817" spans="1:18" x14ac:dyDescent="0.2">
      <c r="A817" s="49">
        <v>43381</v>
      </c>
      <c r="B817" t="s">
        <v>384</v>
      </c>
      <c r="C817" t="s">
        <v>18</v>
      </c>
      <c r="D817" t="s">
        <v>89</v>
      </c>
      <c r="F817" t="s">
        <v>106</v>
      </c>
      <c r="G817" t="s">
        <v>91</v>
      </c>
      <c r="I817" s="49">
        <v>43389</v>
      </c>
      <c r="J817" s="47">
        <v>49989071</v>
      </c>
      <c r="L817">
        <v>49989071</v>
      </c>
      <c r="M817">
        <v>1.9174E-2</v>
      </c>
      <c r="N817">
        <v>1.1399999999999999</v>
      </c>
      <c r="O817" t="s">
        <v>42</v>
      </c>
      <c r="P817" t="s">
        <v>23</v>
      </c>
      <c r="Q817" s="49">
        <v>43375</v>
      </c>
      <c r="R817" s="49" t="str">
        <f>DataTable[HLD_Portfolio]&amp;DataTable[HLD_Date]</f>
        <v>SCBPLUS43381</v>
      </c>
    </row>
    <row r="818" spans="1:18" x14ac:dyDescent="0.2">
      <c r="A818" s="49">
        <v>43381</v>
      </c>
      <c r="B818" t="s">
        <v>384</v>
      </c>
      <c r="C818" t="s">
        <v>18</v>
      </c>
      <c r="D818" t="s">
        <v>89</v>
      </c>
      <c r="F818" t="s">
        <v>107</v>
      </c>
      <c r="G818" t="s">
        <v>91</v>
      </c>
      <c r="I818" s="49">
        <v>43391</v>
      </c>
      <c r="J818" s="47">
        <v>9996939.6999999993</v>
      </c>
      <c r="L818">
        <v>9996635.4000000004</v>
      </c>
      <c r="M818">
        <v>2.4650999999999999E-2</v>
      </c>
      <c r="N818">
        <v>1.365</v>
      </c>
      <c r="O818" t="s">
        <v>42</v>
      </c>
      <c r="P818" t="s">
        <v>23</v>
      </c>
      <c r="Q818" s="49">
        <v>43209</v>
      </c>
      <c r="R818" s="49" t="str">
        <f>DataTable[HLD_Portfolio]&amp;DataTable[HLD_Date]</f>
        <v>SCBPLUS43381</v>
      </c>
    </row>
    <row r="819" spans="1:18" x14ac:dyDescent="0.2">
      <c r="A819" s="49">
        <v>43381</v>
      </c>
      <c r="B819" t="s">
        <v>384</v>
      </c>
      <c r="C819" t="s">
        <v>18</v>
      </c>
      <c r="D819" t="s">
        <v>89</v>
      </c>
      <c r="F819" t="s">
        <v>108</v>
      </c>
      <c r="G819" t="s">
        <v>91</v>
      </c>
      <c r="I819" s="49">
        <v>43391</v>
      </c>
      <c r="J819" s="47">
        <v>21993709.100000001</v>
      </c>
      <c r="L819">
        <v>21993709.100000001</v>
      </c>
      <c r="M819">
        <v>2.4650999999999999E-2</v>
      </c>
      <c r="N819">
        <v>1.1599999999999999</v>
      </c>
      <c r="O819" t="s">
        <v>42</v>
      </c>
      <c r="P819" t="s">
        <v>23</v>
      </c>
      <c r="Q819" s="49">
        <v>43300</v>
      </c>
      <c r="R819" s="49" t="str">
        <f>DataTable[HLD_Portfolio]&amp;DataTable[HLD_Date]</f>
        <v>SCBPLUS43381</v>
      </c>
    </row>
    <row r="820" spans="1:18" x14ac:dyDescent="0.2">
      <c r="A820" s="49">
        <v>43381</v>
      </c>
      <c r="B820" t="s">
        <v>384</v>
      </c>
      <c r="C820" t="s">
        <v>18</v>
      </c>
      <c r="D820" t="s">
        <v>89</v>
      </c>
      <c r="F820" t="s">
        <v>388</v>
      </c>
      <c r="G820" t="s">
        <v>91</v>
      </c>
      <c r="I820" s="49">
        <v>43397</v>
      </c>
      <c r="J820" s="47">
        <v>119944053.59999999</v>
      </c>
      <c r="L820">
        <v>119944053.59999999</v>
      </c>
      <c r="M820">
        <v>4.3836E-2</v>
      </c>
      <c r="N820">
        <v>1.135</v>
      </c>
      <c r="O820" t="s">
        <v>42</v>
      </c>
      <c r="P820" t="s">
        <v>23</v>
      </c>
      <c r="Q820" s="49">
        <v>43382</v>
      </c>
      <c r="R820" s="49" t="str">
        <f>DataTable[HLD_Portfolio]&amp;DataTable[HLD_Date]</f>
        <v>SCBPLUS43381</v>
      </c>
    </row>
    <row r="821" spans="1:18" x14ac:dyDescent="0.2">
      <c r="A821" s="49">
        <v>43381</v>
      </c>
      <c r="B821" t="s">
        <v>384</v>
      </c>
      <c r="C821" t="s">
        <v>18</v>
      </c>
      <c r="D821" t="s">
        <v>89</v>
      </c>
      <c r="F821" t="s">
        <v>110</v>
      </c>
      <c r="G821" t="s">
        <v>91</v>
      </c>
      <c r="I821" s="49">
        <v>43398</v>
      </c>
      <c r="J821" s="47">
        <v>179906153.40000001</v>
      </c>
      <c r="L821">
        <v>179906153.40000001</v>
      </c>
      <c r="M821">
        <v>4.3812999999999998E-2</v>
      </c>
      <c r="N821">
        <v>1.19</v>
      </c>
      <c r="O821" t="s">
        <v>42</v>
      </c>
      <c r="P821" t="s">
        <v>23</v>
      </c>
      <c r="Q821" s="49">
        <v>43307</v>
      </c>
      <c r="R821" s="49" t="str">
        <f>DataTable[HLD_Portfolio]&amp;DataTable[HLD_Date]</f>
        <v>SCBPLUS43381</v>
      </c>
    </row>
    <row r="822" spans="1:18" x14ac:dyDescent="0.2">
      <c r="A822" s="49">
        <v>43381</v>
      </c>
      <c r="B822" t="s">
        <v>384</v>
      </c>
      <c r="C822" t="s">
        <v>18</v>
      </c>
      <c r="D822" t="s">
        <v>89</v>
      </c>
      <c r="F822" t="s">
        <v>213</v>
      </c>
      <c r="G822" t="s">
        <v>91</v>
      </c>
      <c r="I822" s="49">
        <v>43468</v>
      </c>
      <c r="J822" s="47">
        <v>24917805.5</v>
      </c>
      <c r="L822">
        <v>24919853.75</v>
      </c>
      <c r="M822">
        <v>0.234787</v>
      </c>
      <c r="N822">
        <v>1.365</v>
      </c>
      <c r="O822" t="s">
        <v>42</v>
      </c>
      <c r="P822" t="s">
        <v>23</v>
      </c>
      <c r="Q822" s="49">
        <v>43286</v>
      </c>
      <c r="R822" s="49" t="str">
        <f>DataTable[HLD_Portfolio]&amp;DataTable[HLD_Date]</f>
        <v>SCBPLUS43381</v>
      </c>
    </row>
    <row r="823" spans="1:18" x14ac:dyDescent="0.2">
      <c r="A823" s="49">
        <v>43381</v>
      </c>
      <c r="B823" t="s">
        <v>384</v>
      </c>
      <c r="C823" t="s">
        <v>18</v>
      </c>
      <c r="D823" t="s">
        <v>89</v>
      </c>
      <c r="F823" t="s">
        <v>840</v>
      </c>
      <c r="G823" t="s">
        <v>91</v>
      </c>
      <c r="I823" s="49">
        <v>43517</v>
      </c>
      <c r="J823" s="47">
        <v>39768336</v>
      </c>
      <c r="L823">
        <v>39779306.399999999</v>
      </c>
      <c r="M823">
        <v>0.36772100000000002</v>
      </c>
      <c r="N823">
        <v>1.5</v>
      </c>
      <c r="O823" t="s">
        <v>42</v>
      </c>
      <c r="P823" t="s">
        <v>23</v>
      </c>
      <c r="Q823" s="49">
        <v>43335</v>
      </c>
      <c r="R823" s="49" t="str">
        <f>DataTable[HLD_Portfolio]&amp;DataTable[HLD_Date]</f>
        <v>SCBPLUS43381</v>
      </c>
    </row>
    <row r="824" spans="1:18" x14ac:dyDescent="0.2">
      <c r="A824" s="49">
        <v>43381</v>
      </c>
      <c r="B824" t="s">
        <v>384</v>
      </c>
      <c r="C824" t="s">
        <v>18</v>
      </c>
      <c r="D824" t="s">
        <v>89</v>
      </c>
      <c r="F824" t="s">
        <v>654</v>
      </c>
      <c r="G824" t="s">
        <v>91</v>
      </c>
      <c r="I824" s="49">
        <v>43524</v>
      </c>
      <c r="J824" s="47">
        <v>89465730.299999997</v>
      </c>
      <c r="L824">
        <v>89490725.099999994</v>
      </c>
      <c r="M824">
        <v>0.38673200000000002</v>
      </c>
      <c r="N824">
        <v>1.4627779999999999</v>
      </c>
      <c r="O824" t="s">
        <v>42</v>
      </c>
      <c r="P824" t="s">
        <v>23</v>
      </c>
      <c r="Q824" s="49">
        <v>43342</v>
      </c>
      <c r="R824" s="49" t="str">
        <f>DataTable[HLD_Portfolio]&amp;DataTable[HLD_Date]</f>
        <v>SCBPLUS43381</v>
      </c>
    </row>
    <row r="825" spans="1:18" x14ac:dyDescent="0.2">
      <c r="A825" s="49">
        <v>43381</v>
      </c>
      <c r="B825" t="s">
        <v>384</v>
      </c>
      <c r="C825" t="s">
        <v>18</v>
      </c>
      <c r="D825" t="s">
        <v>89</v>
      </c>
      <c r="F825" t="s">
        <v>655</v>
      </c>
      <c r="G825" t="s">
        <v>91</v>
      </c>
      <c r="I825" s="49">
        <v>43531</v>
      </c>
      <c r="J825" s="47">
        <v>63607514.880000003</v>
      </c>
      <c r="L825">
        <v>63596141.439999998</v>
      </c>
      <c r="M825">
        <v>0.40571600000000002</v>
      </c>
      <c r="N825">
        <v>1.555625</v>
      </c>
      <c r="O825" t="s">
        <v>42</v>
      </c>
      <c r="P825" t="s">
        <v>23</v>
      </c>
      <c r="Q825" s="49">
        <v>43349</v>
      </c>
      <c r="R825" s="49" t="str">
        <f>DataTable[HLD_Portfolio]&amp;DataTable[HLD_Date]</f>
        <v>SCBPLUS43381</v>
      </c>
    </row>
    <row r="826" spans="1:18" x14ac:dyDescent="0.2">
      <c r="A826" s="49">
        <v>43381</v>
      </c>
      <c r="B826" t="s">
        <v>384</v>
      </c>
      <c r="C826" t="s">
        <v>18</v>
      </c>
      <c r="D826" t="s">
        <v>89</v>
      </c>
      <c r="F826" t="s">
        <v>597</v>
      </c>
      <c r="G826" t="s">
        <v>91</v>
      </c>
      <c r="I826" s="49">
        <v>43538</v>
      </c>
      <c r="J826" s="47">
        <v>751858524.13</v>
      </c>
      <c r="L826">
        <v>752398673.90999997</v>
      </c>
      <c r="M826">
        <v>0.42449399999999998</v>
      </c>
      <c r="N826">
        <v>1.430879</v>
      </c>
      <c r="O826" t="s">
        <v>42</v>
      </c>
      <c r="P826" t="s">
        <v>23</v>
      </c>
      <c r="Q826" s="49">
        <v>43174</v>
      </c>
      <c r="R826" s="49" t="str">
        <f>DataTable[HLD_Portfolio]&amp;DataTable[HLD_Date]</f>
        <v>SCBPLUS43381</v>
      </c>
    </row>
    <row r="827" spans="1:18" x14ac:dyDescent="0.2">
      <c r="A827" s="49">
        <v>43381</v>
      </c>
      <c r="B827" t="s">
        <v>384</v>
      </c>
      <c r="C827" t="s">
        <v>18</v>
      </c>
      <c r="D827" t="s">
        <v>89</v>
      </c>
      <c r="F827" t="s">
        <v>657</v>
      </c>
      <c r="G827" t="s">
        <v>91</v>
      </c>
      <c r="I827" s="49">
        <v>43552</v>
      </c>
      <c r="J827" s="47">
        <v>232306705.80000001</v>
      </c>
      <c r="L827">
        <v>232299407.34</v>
      </c>
      <c r="M827">
        <v>0.46238299999999999</v>
      </c>
      <c r="N827">
        <v>1.5717950000000001</v>
      </c>
      <c r="O827" t="s">
        <v>42</v>
      </c>
      <c r="P827" t="s">
        <v>23</v>
      </c>
      <c r="Q827" s="49">
        <v>43370</v>
      </c>
      <c r="R827" s="49" t="str">
        <f>DataTable[HLD_Portfolio]&amp;DataTable[HLD_Date]</f>
        <v>SCBPLUS43381</v>
      </c>
    </row>
    <row r="828" spans="1:18" x14ac:dyDescent="0.2">
      <c r="A828" s="49">
        <v>43381</v>
      </c>
      <c r="B828" t="s">
        <v>384</v>
      </c>
      <c r="C828" t="s">
        <v>18</v>
      </c>
      <c r="D828" t="s">
        <v>89</v>
      </c>
      <c r="F828" t="s">
        <v>658</v>
      </c>
      <c r="G828" t="s">
        <v>91</v>
      </c>
      <c r="I828" s="49">
        <v>43559</v>
      </c>
      <c r="J828" s="47">
        <v>49607880.5</v>
      </c>
      <c r="L828">
        <v>49615638.5</v>
      </c>
      <c r="M828">
        <v>0.481128</v>
      </c>
      <c r="N828">
        <v>1.5974999999999999</v>
      </c>
      <c r="O828" t="s">
        <v>42</v>
      </c>
      <c r="P828" t="s">
        <v>23</v>
      </c>
      <c r="Q828" s="49">
        <v>43377</v>
      </c>
      <c r="R828" s="49" t="str">
        <f>DataTable[HLD_Portfolio]&amp;DataTable[HLD_Date]</f>
        <v>SCBPLUS43381</v>
      </c>
    </row>
    <row r="829" spans="1:18" x14ac:dyDescent="0.2">
      <c r="A829" s="49">
        <v>43381</v>
      </c>
      <c r="B829" t="s">
        <v>384</v>
      </c>
      <c r="C829" t="s">
        <v>18</v>
      </c>
      <c r="D829" t="s">
        <v>89</v>
      </c>
      <c r="F829" t="s">
        <v>659</v>
      </c>
      <c r="G829" t="s">
        <v>91</v>
      </c>
      <c r="I829" s="49">
        <v>43622</v>
      </c>
      <c r="J829" s="47">
        <v>168230126.59999999</v>
      </c>
      <c r="L829">
        <v>168248802.80000001</v>
      </c>
      <c r="M829">
        <v>0.65068899999999996</v>
      </c>
      <c r="N829">
        <v>1.5829409999999999</v>
      </c>
      <c r="O829" t="s">
        <v>42</v>
      </c>
      <c r="P829" t="s">
        <v>23</v>
      </c>
      <c r="Q829" s="49">
        <v>43258</v>
      </c>
      <c r="R829" s="49" t="str">
        <f>DataTable[HLD_Portfolio]&amp;DataTable[HLD_Date]</f>
        <v>SCBPLUS43381</v>
      </c>
    </row>
    <row r="830" spans="1:18" x14ac:dyDescent="0.2">
      <c r="A830" s="49">
        <v>43381</v>
      </c>
      <c r="B830" t="s">
        <v>384</v>
      </c>
      <c r="C830" t="s">
        <v>18</v>
      </c>
      <c r="D830" t="s">
        <v>89</v>
      </c>
      <c r="F830" t="s">
        <v>660</v>
      </c>
      <c r="G830" t="s">
        <v>91</v>
      </c>
      <c r="I830" s="49">
        <v>43713</v>
      </c>
      <c r="J830" s="47">
        <v>94487640.959999993</v>
      </c>
      <c r="L830">
        <v>94522882.560000002</v>
      </c>
      <c r="M830">
        <v>0.892563</v>
      </c>
      <c r="N830">
        <v>1.7232289999999999</v>
      </c>
      <c r="O830" t="s">
        <v>42</v>
      </c>
      <c r="P830" t="s">
        <v>23</v>
      </c>
      <c r="Q830" s="49">
        <v>43349</v>
      </c>
      <c r="R830" s="49" t="str">
        <f>DataTable[HLD_Portfolio]&amp;DataTable[HLD_Date]</f>
        <v>SCBPLUS43381</v>
      </c>
    </row>
    <row r="831" spans="1:18" x14ac:dyDescent="0.2">
      <c r="A831" s="49">
        <v>43381</v>
      </c>
      <c r="B831" t="s">
        <v>384</v>
      </c>
      <c r="C831" t="s">
        <v>18</v>
      </c>
      <c r="D831" t="s">
        <v>115</v>
      </c>
      <c r="F831" t="s">
        <v>661</v>
      </c>
      <c r="G831" t="s">
        <v>91</v>
      </c>
      <c r="I831" s="49">
        <v>43545</v>
      </c>
      <c r="J831" s="47">
        <v>144931406.30000001</v>
      </c>
      <c r="K831">
        <v>107260.85</v>
      </c>
      <c r="L831">
        <v>145095441.90000001</v>
      </c>
      <c r="M831">
        <v>0.44298700000000002</v>
      </c>
      <c r="N831">
        <v>1.365</v>
      </c>
      <c r="O831" t="s">
        <v>42</v>
      </c>
      <c r="P831" t="s">
        <v>23</v>
      </c>
      <c r="Q831" s="49">
        <v>42450</v>
      </c>
      <c r="R831" s="49" t="str">
        <f>DataTable[HLD_Portfolio]&amp;DataTable[HLD_Date]</f>
        <v>SCBPLUS43381</v>
      </c>
    </row>
    <row r="832" spans="1:18" x14ac:dyDescent="0.2">
      <c r="A832" s="49">
        <v>43381</v>
      </c>
      <c r="B832" t="s">
        <v>384</v>
      </c>
      <c r="C832" t="s">
        <v>18</v>
      </c>
      <c r="D832" t="s">
        <v>115</v>
      </c>
      <c r="F832" t="s">
        <v>662</v>
      </c>
      <c r="G832" t="s">
        <v>91</v>
      </c>
      <c r="I832" s="49">
        <v>43917</v>
      </c>
      <c r="J832" s="47">
        <v>49901179.5</v>
      </c>
      <c r="K832">
        <v>29096</v>
      </c>
      <c r="L832">
        <v>50147608.5</v>
      </c>
      <c r="M832">
        <v>1.436145</v>
      </c>
      <c r="N832">
        <v>1.5699799999999999</v>
      </c>
      <c r="O832" t="s">
        <v>42</v>
      </c>
      <c r="P832" t="s">
        <v>23</v>
      </c>
      <c r="Q832" s="49">
        <v>42821</v>
      </c>
      <c r="R832" s="49" t="str">
        <f>DataTable[HLD_Portfolio]&amp;DataTable[HLD_Date]</f>
        <v>SCBPLUS43381</v>
      </c>
    </row>
    <row r="833" spans="1:18" x14ac:dyDescent="0.2">
      <c r="A833" s="49">
        <v>43381</v>
      </c>
      <c r="B833" t="s">
        <v>384</v>
      </c>
      <c r="C833" t="s">
        <v>18</v>
      </c>
      <c r="D833" t="s">
        <v>115</v>
      </c>
      <c r="F833" t="s">
        <v>841</v>
      </c>
      <c r="G833" t="s">
        <v>91</v>
      </c>
      <c r="I833" s="49">
        <v>44070</v>
      </c>
      <c r="J833" s="47">
        <v>179334030.59999999</v>
      </c>
      <c r="K833">
        <v>385939.8</v>
      </c>
      <c r="L833">
        <v>179509269.59999999</v>
      </c>
      <c r="M833">
        <v>1.8407910000000001</v>
      </c>
      <c r="N833">
        <v>1.9634499999999999</v>
      </c>
      <c r="O833" t="s">
        <v>42</v>
      </c>
      <c r="P833" t="s">
        <v>23</v>
      </c>
      <c r="Q833" s="49">
        <v>43339</v>
      </c>
      <c r="R833" s="49" t="str">
        <f>DataTable[HLD_Portfolio]&amp;DataTable[HLD_Date]</f>
        <v>SCBPLUS43381</v>
      </c>
    </row>
    <row r="834" spans="1:18" x14ac:dyDescent="0.2">
      <c r="A834" s="49">
        <v>43381</v>
      </c>
      <c r="B834" t="s">
        <v>384</v>
      </c>
      <c r="C834" t="s">
        <v>18</v>
      </c>
      <c r="D834" t="s">
        <v>115</v>
      </c>
      <c r="F834" t="s">
        <v>600</v>
      </c>
      <c r="G834" t="s">
        <v>91</v>
      </c>
      <c r="I834" s="49">
        <v>44099</v>
      </c>
      <c r="J834" s="47">
        <v>277540046</v>
      </c>
      <c r="K834">
        <v>168613.2</v>
      </c>
      <c r="L834">
        <v>280331144.80000001</v>
      </c>
      <c r="M834">
        <v>1.9147000000000001</v>
      </c>
      <c r="N834">
        <v>1.5116959999999999</v>
      </c>
      <c r="O834" t="s">
        <v>42</v>
      </c>
      <c r="P834" t="s">
        <v>23</v>
      </c>
      <c r="Q834" s="49">
        <v>43003</v>
      </c>
      <c r="R834" s="49" t="str">
        <f>DataTable[HLD_Portfolio]&amp;DataTable[HLD_Date]</f>
        <v>SCBPLUS43381</v>
      </c>
    </row>
    <row r="835" spans="1:18" x14ac:dyDescent="0.2">
      <c r="A835" s="49">
        <v>43381</v>
      </c>
      <c r="B835" t="s">
        <v>384</v>
      </c>
      <c r="C835" t="s">
        <v>18</v>
      </c>
      <c r="D835" t="s">
        <v>115</v>
      </c>
      <c r="F835" t="s">
        <v>842</v>
      </c>
      <c r="G835" t="s">
        <v>843</v>
      </c>
      <c r="H835" t="s">
        <v>320</v>
      </c>
      <c r="I835" s="49">
        <v>44692</v>
      </c>
      <c r="J835" s="47">
        <v>18855762.829999998</v>
      </c>
      <c r="K835">
        <v>183144.42</v>
      </c>
      <c r="L835">
        <v>19326703.48</v>
      </c>
      <c r="M835">
        <v>3.3888419999999999</v>
      </c>
      <c r="N835">
        <v>1.83</v>
      </c>
      <c r="O835" t="s">
        <v>42</v>
      </c>
      <c r="P835" t="s">
        <v>23</v>
      </c>
      <c r="Q835" s="49">
        <v>42866</v>
      </c>
      <c r="R835" s="49" t="str">
        <f>DataTable[HLD_Portfolio]&amp;DataTable[HLD_Date]</f>
        <v>SCBPLUS43381</v>
      </c>
    </row>
    <row r="836" spans="1:18" x14ac:dyDescent="0.2">
      <c r="A836" s="49">
        <v>43381</v>
      </c>
      <c r="B836" t="s">
        <v>384</v>
      </c>
      <c r="C836" t="s">
        <v>18</v>
      </c>
      <c r="D836" t="s">
        <v>115</v>
      </c>
      <c r="F836" t="s">
        <v>601</v>
      </c>
      <c r="G836" t="s">
        <v>87</v>
      </c>
      <c r="H836" t="s">
        <v>29</v>
      </c>
      <c r="I836" s="49">
        <v>44008</v>
      </c>
      <c r="J836" s="47">
        <v>129346680.31999999</v>
      </c>
      <c r="K836">
        <v>938959.35999999999</v>
      </c>
      <c r="L836">
        <v>130236682.23999999</v>
      </c>
      <c r="M836">
        <v>1.660568</v>
      </c>
      <c r="N836">
        <v>1.5104610000000001</v>
      </c>
      <c r="O836" t="s">
        <v>42</v>
      </c>
      <c r="P836" t="s">
        <v>23</v>
      </c>
      <c r="Q836" s="49">
        <v>42181</v>
      </c>
      <c r="R836" s="49" t="str">
        <f>DataTable[HLD_Portfolio]&amp;DataTable[HLD_Date]</f>
        <v>SCBPLUS43381</v>
      </c>
    </row>
    <row r="837" spans="1:18" x14ac:dyDescent="0.2">
      <c r="A837" s="49">
        <v>43381</v>
      </c>
      <c r="B837" t="s">
        <v>384</v>
      </c>
      <c r="C837" t="s">
        <v>18</v>
      </c>
      <c r="D837" t="s">
        <v>115</v>
      </c>
      <c r="F837" t="s">
        <v>708</v>
      </c>
      <c r="G837" t="s">
        <v>87</v>
      </c>
      <c r="H837" t="s">
        <v>29</v>
      </c>
      <c r="I837" s="49">
        <v>44547</v>
      </c>
      <c r="J837" s="47">
        <v>70118951.170000002</v>
      </c>
      <c r="K837">
        <v>763800</v>
      </c>
      <c r="L837">
        <v>71237363.409999996</v>
      </c>
      <c r="M837">
        <v>2.980035</v>
      </c>
      <c r="N837">
        <v>1.605507</v>
      </c>
      <c r="O837" t="s">
        <v>42</v>
      </c>
      <c r="P837" t="s">
        <v>23</v>
      </c>
      <c r="Q837" s="49">
        <v>40501</v>
      </c>
      <c r="R837" s="49" t="str">
        <f>DataTable[HLD_Portfolio]&amp;DataTable[HLD_Date]</f>
        <v>SCBPLUS43381</v>
      </c>
    </row>
    <row r="838" spans="1:18" x14ac:dyDescent="0.2">
      <c r="A838" s="49">
        <v>43381</v>
      </c>
      <c r="B838" t="s">
        <v>384</v>
      </c>
      <c r="C838" t="s">
        <v>18</v>
      </c>
      <c r="D838" t="s">
        <v>115</v>
      </c>
      <c r="F838" t="s">
        <v>665</v>
      </c>
      <c r="G838" t="s">
        <v>87</v>
      </c>
      <c r="H838" t="s">
        <v>29</v>
      </c>
      <c r="I838" s="49">
        <v>44912</v>
      </c>
      <c r="J838" s="47">
        <v>384415090.80000001</v>
      </c>
      <c r="K838">
        <v>2436166.2000000002</v>
      </c>
      <c r="L838">
        <v>393212823.89999998</v>
      </c>
      <c r="M838">
        <v>3.9664069999999998</v>
      </c>
      <c r="N838">
        <v>1.794038</v>
      </c>
      <c r="O838" t="s">
        <v>42</v>
      </c>
      <c r="P838" t="s">
        <v>23</v>
      </c>
      <c r="Q838" s="49">
        <v>42951</v>
      </c>
      <c r="R838" s="49" t="str">
        <f>DataTable[HLD_Portfolio]&amp;DataTable[HLD_Date]</f>
        <v>SCBPLUS43381</v>
      </c>
    </row>
    <row r="839" spans="1:18" x14ac:dyDescent="0.2">
      <c r="A839" s="49">
        <v>43381</v>
      </c>
      <c r="B839" t="s">
        <v>384</v>
      </c>
      <c r="C839" t="s">
        <v>18</v>
      </c>
      <c r="D839" t="s">
        <v>115</v>
      </c>
      <c r="F839" t="s">
        <v>666</v>
      </c>
      <c r="G839" t="s">
        <v>87</v>
      </c>
      <c r="H839" t="s">
        <v>29</v>
      </c>
      <c r="I839" s="49">
        <v>45277</v>
      </c>
      <c r="J839" s="47">
        <v>126631053.56999999</v>
      </c>
      <c r="K839">
        <v>442586.11</v>
      </c>
      <c r="L839">
        <v>127353503.23</v>
      </c>
      <c r="M839">
        <v>4.8327780000000002</v>
      </c>
      <c r="N839">
        <v>2.34274</v>
      </c>
      <c r="O839" t="s">
        <v>42</v>
      </c>
      <c r="P839" t="s">
        <v>23</v>
      </c>
      <c r="Q839" s="49">
        <v>43329</v>
      </c>
      <c r="R839" s="49" t="str">
        <f>DataTable[HLD_Portfolio]&amp;DataTable[HLD_Date]</f>
        <v>SCBPLUS43381</v>
      </c>
    </row>
    <row r="840" spans="1:18" x14ac:dyDescent="0.2">
      <c r="A840" s="49">
        <v>43381</v>
      </c>
      <c r="B840" t="s">
        <v>384</v>
      </c>
      <c r="C840" t="s">
        <v>18</v>
      </c>
      <c r="D840" t="s">
        <v>112</v>
      </c>
      <c r="F840" t="s">
        <v>734</v>
      </c>
      <c r="G840" t="s">
        <v>733</v>
      </c>
      <c r="H840" t="s">
        <v>126</v>
      </c>
      <c r="I840" s="49">
        <v>44917</v>
      </c>
      <c r="J840" s="47">
        <v>29577186.300000001</v>
      </c>
      <c r="K840">
        <v>227556.3</v>
      </c>
      <c r="L840">
        <v>30000000</v>
      </c>
      <c r="M840">
        <v>3.9245899999999998</v>
      </c>
      <c r="N840">
        <v>2.54</v>
      </c>
      <c r="O840" t="s">
        <v>42</v>
      </c>
      <c r="P840" t="s">
        <v>23</v>
      </c>
      <c r="Q840" s="49">
        <v>43091</v>
      </c>
      <c r="R840" s="49" t="str">
        <f>DataTable[HLD_Portfolio]&amp;DataTable[HLD_Date]</f>
        <v>SCBPLUS43381</v>
      </c>
    </row>
    <row r="841" spans="1:18" x14ac:dyDescent="0.2">
      <c r="A841" s="49">
        <v>43381</v>
      </c>
      <c r="B841" t="s">
        <v>384</v>
      </c>
      <c r="C841" t="s">
        <v>18</v>
      </c>
      <c r="D841" t="s">
        <v>112</v>
      </c>
      <c r="F841" t="s">
        <v>735</v>
      </c>
      <c r="G841" t="s">
        <v>554</v>
      </c>
      <c r="H841" t="s">
        <v>47</v>
      </c>
      <c r="I841" s="49">
        <v>44371</v>
      </c>
      <c r="J841" s="47">
        <v>59691939</v>
      </c>
      <c r="K841">
        <v>443244</v>
      </c>
      <c r="L841">
        <v>59930136.600000001</v>
      </c>
      <c r="M841">
        <v>2.5810689999999998</v>
      </c>
      <c r="N841">
        <v>2.5627010000000001</v>
      </c>
      <c r="O841" t="s">
        <v>42</v>
      </c>
      <c r="P841" t="s">
        <v>23</v>
      </c>
      <c r="Q841" s="49">
        <v>42545</v>
      </c>
      <c r="R841" s="49" t="str">
        <f>DataTable[HLD_Portfolio]&amp;DataTable[HLD_Date]</f>
        <v>SCBPLUS43381</v>
      </c>
    </row>
    <row r="842" spans="1:18" x14ac:dyDescent="0.2">
      <c r="A842" s="49">
        <v>43381</v>
      </c>
      <c r="B842" t="s">
        <v>384</v>
      </c>
      <c r="C842" t="s">
        <v>18</v>
      </c>
      <c r="D842" t="s">
        <v>112</v>
      </c>
      <c r="F842" t="s">
        <v>553</v>
      </c>
      <c r="G842" t="s">
        <v>554</v>
      </c>
      <c r="H842" t="s">
        <v>47</v>
      </c>
      <c r="I842" s="49">
        <v>45021</v>
      </c>
      <c r="J842" s="47">
        <v>85481396.879999995</v>
      </c>
      <c r="K842">
        <v>23723.919999999998</v>
      </c>
      <c r="L842">
        <v>88000000</v>
      </c>
      <c r="M842">
        <v>4.2049690000000002</v>
      </c>
      <c r="N842">
        <v>2.46</v>
      </c>
      <c r="O842" t="s">
        <v>42</v>
      </c>
      <c r="P842" t="s">
        <v>23</v>
      </c>
      <c r="Q842" s="49">
        <v>43195</v>
      </c>
      <c r="R842" s="49" t="str">
        <f>DataTable[HLD_Portfolio]&amp;DataTable[HLD_Date]</f>
        <v>SCBPLUS43381</v>
      </c>
    </row>
    <row r="843" spans="1:18" x14ac:dyDescent="0.2">
      <c r="A843" s="49">
        <v>43381</v>
      </c>
      <c r="B843" t="s">
        <v>384</v>
      </c>
      <c r="C843" t="s">
        <v>18</v>
      </c>
      <c r="D843" t="s">
        <v>112</v>
      </c>
      <c r="F843" t="s">
        <v>557</v>
      </c>
      <c r="G843" t="s">
        <v>260</v>
      </c>
      <c r="H843" t="s">
        <v>47</v>
      </c>
      <c r="I843" s="49">
        <v>44341</v>
      </c>
      <c r="J843" s="47">
        <v>188699683.69999999</v>
      </c>
      <c r="K843">
        <v>1640247.2</v>
      </c>
      <c r="L843">
        <v>189261069.09999999</v>
      </c>
      <c r="M843">
        <v>2.5121509999999998</v>
      </c>
      <c r="N843">
        <v>2.449398</v>
      </c>
      <c r="O843" t="s">
        <v>42</v>
      </c>
      <c r="P843" t="s">
        <v>23</v>
      </c>
      <c r="Q843" s="49">
        <v>42515</v>
      </c>
      <c r="R843" s="49" t="str">
        <f>DataTable[HLD_Portfolio]&amp;DataTable[HLD_Date]</f>
        <v>SCBPLUS43381</v>
      </c>
    </row>
    <row r="844" spans="1:18" x14ac:dyDescent="0.2">
      <c r="A844" s="49">
        <v>43381</v>
      </c>
      <c r="B844" t="s">
        <v>384</v>
      </c>
      <c r="C844" t="s">
        <v>18</v>
      </c>
      <c r="D844" t="s">
        <v>112</v>
      </c>
      <c r="F844" t="s">
        <v>559</v>
      </c>
      <c r="G844" t="s">
        <v>260</v>
      </c>
      <c r="H844" t="s">
        <v>47</v>
      </c>
      <c r="I844" s="49">
        <v>45013</v>
      </c>
      <c r="J844" s="47">
        <v>13680975.560000001</v>
      </c>
      <c r="K844">
        <v>10632.3</v>
      </c>
      <c r="L844">
        <v>14000000</v>
      </c>
      <c r="M844">
        <v>4.1807819999999998</v>
      </c>
      <c r="N844">
        <v>2.52</v>
      </c>
      <c r="O844" t="s">
        <v>42</v>
      </c>
      <c r="P844" t="s">
        <v>23</v>
      </c>
      <c r="Q844" s="49">
        <v>43187</v>
      </c>
      <c r="R844" s="49" t="str">
        <f>DataTable[HLD_Portfolio]&amp;DataTable[HLD_Date]</f>
        <v>SCBPLUS43381</v>
      </c>
    </row>
    <row r="845" spans="1:18" x14ac:dyDescent="0.2">
      <c r="A845" s="49">
        <v>43381</v>
      </c>
      <c r="B845" t="s">
        <v>384</v>
      </c>
      <c r="C845" t="s">
        <v>18</v>
      </c>
      <c r="D845" t="s">
        <v>112</v>
      </c>
      <c r="F845" t="s">
        <v>844</v>
      </c>
      <c r="G845" t="s">
        <v>197</v>
      </c>
      <c r="H845" t="s">
        <v>47</v>
      </c>
      <c r="I845" s="49">
        <v>44081</v>
      </c>
      <c r="J845" s="47">
        <v>99993671</v>
      </c>
      <c r="K845">
        <v>226192</v>
      </c>
      <c r="L845">
        <v>100000000</v>
      </c>
      <c r="M845">
        <v>1.846435</v>
      </c>
      <c r="N845">
        <v>2.58</v>
      </c>
      <c r="O845" t="s">
        <v>42</v>
      </c>
      <c r="P845" t="s">
        <v>23</v>
      </c>
      <c r="Q845" s="49">
        <v>43350</v>
      </c>
      <c r="R845" s="49" t="str">
        <f>DataTable[HLD_Portfolio]&amp;DataTable[HLD_Date]</f>
        <v>SCBPLUS43381</v>
      </c>
    </row>
    <row r="846" spans="1:18" x14ac:dyDescent="0.2">
      <c r="A846" s="49">
        <v>43381</v>
      </c>
      <c r="B846" t="s">
        <v>384</v>
      </c>
      <c r="C846" t="s">
        <v>18</v>
      </c>
      <c r="D846" t="s">
        <v>112</v>
      </c>
      <c r="F846" t="s">
        <v>563</v>
      </c>
      <c r="G846" t="s">
        <v>564</v>
      </c>
      <c r="H846" t="s">
        <v>126</v>
      </c>
      <c r="I846" s="49">
        <v>43997</v>
      </c>
      <c r="J846" s="47">
        <v>99557082</v>
      </c>
      <c r="K846">
        <v>708712</v>
      </c>
      <c r="L846">
        <v>100000000</v>
      </c>
      <c r="M846">
        <v>1.6302669999999999</v>
      </c>
      <c r="N846">
        <v>2.23</v>
      </c>
      <c r="O846" t="s">
        <v>42</v>
      </c>
      <c r="P846" t="s">
        <v>23</v>
      </c>
      <c r="Q846" s="49">
        <v>43266</v>
      </c>
      <c r="R846" s="49" t="str">
        <f>DataTable[HLD_Portfolio]&amp;DataTable[HLD_Date]</f>
        <v>SCBPLUS43381</v>
      </c>
    </row>
    <row r="847" spans="1:18" x14ac:dyDescent="0.2">
      <c r="A847" s="49">
        <v>43381</v>
      </c>
      <c r="B847" t="s">
        <v>384</v>
      </c>
      <c r="C847" t="s">
        <v>18</v>
      </c>
      <c r="D847" t="s">
        <v>112</v>
      </c>
      <c r="F847" t="s">
        <v>738</v>
      </c>
      <c r="G847" t="s">
        <v>739</v>
      </c>
      <c r="H847" t="s">
        <v>47</v>
      </c>
      <c r="I847" s="49">
        <v>44365</v>
      </c>
      <c r="J847" s="47">
        <v>33592332.859999999</v>
      </c>
      <c r="K847">
        <v>269466.32</v>
      </c>
      <c r="L847">
        <v>34000000</v>
      </c>
      <c r="M847">
        <v>2.5591189999999999</v>
      </c>
      <c r="N847">
        <v>2.56</v>
      </c>
      <c r="O847" t="s">
        <v>42</v>
      </c>
      <c r="P847" t="s">
        <v>23</v>
      </c>
      <c r="Q847" s="49">
        <v>43269</v>
      </c>
      <c r="R847" s="49" t="str">
        <f>DataTable[HLD_Portfolio]&amp;DataTable[HLD_Date]</f>
        <v>SCBPLUS43381</v>
      </c>
    </row>
    <row r="848" spans="1:18" x14ac:dyDescent="0.2">
      <c r="A848" s="49">
        <v>43381</v>
      </c>
      <c r="B848" t="s">
        <v>384</v>
      </c>
      <c r="C848" t="s">
        <v>18</v>
      </c>
      <c r="D848" t="s">
        <v>112</v>
      </c>
      <c r="F848" t="s">
        <v>845</v>
      </c>
      <c r="G848" t="s">
        <v>114</v>
      </c>
      <c r="H848" t="s">
        <v>51</v>
      </c>
      <c r="I848" s="49">
        <v>44273</v>
      </c>
      <c r="J848" s="47">
        <v>10110774.1</v>
      </c>
      <c r="K848">
        <v>16972.599999999999</v>
      </c>
      <c r="L848">
        <v>10012786.9</v>
      </c>
      <c r="M848">
        <v>2.3381620000000001</v>
      </c>
      <c r="N848">
        <v>2.9</v>
      </c>
      <c r="O848" t="s">
        <v>42</v>
      </c>
      <c r="P848" t="s">
        <v>23</v>
      </c>
      <c r="Q848" s="49">
        <v>42447</v>
      </c>
      <c r="R848" s="49" t="str">
        <f>DataTable[HLD_Portfolio]&amp;DataTable[HLD_Date]</f>
        <v>SCBPLUS43381</v>
      </c>
    </row>
    <row r="849" spans="1:18" x14ac:dyDescent="0.2">
      <c r="A849" s="49">
        <v>43381</v>
      </c>
      <c r="B849" t="s">
        <v>384</v>
      </c>
      <c r="C849" t="s">
        <v>18</v>
      </c>
      <c r="D849" t="s">
        <v>112</v>
      </c>
      <c r="F849" t="s">
        <v>675</v>
      </c>
      <c r="G849" t="s">
        <v>199</v>
      </c>
      <c r="H849" t="s">
        <v>51</v>
      </c>
      <c r="I849" s="49">
        <v>45059</v>
      </c>
      <c r="J849" s="47">
        <v>98568611.349999994</v>
      </c>
      <c r="K849">
        <v>1543476.4</v>
      </c>
      <c r="L849">
        <v>99038870.849999994</v>
      </c>
      <c r="M849">
        <v>4.1252180000000003</v>
      </c>
      <c r="N849">
        <v>2.9789469999999998</v>
      </c>
      <c r="O849" t="s">
        <v>42</v>
      </c>
      <c r="P849" t="s">
        <v>23</v>
      </c>
      <c r="Q849" s="49">
        <v>42137</v>
      </c>
      <c r="R849" s="49" t="str">
        <f>DataTable[HLD_Portfolio]&amp;DataTable[HLD_Date]</f>
        <v>SCBPLUS43381</v>
      </c>
    </row>
    <row r="850" spans="1:18" x14ac:dyDescent="0.2">
      <c r="A850" s="49">
        <v>43381</v>
      </c>
      <c r="B850" t="s">
        <v>384</v>
      </c>
      <c r="C850" t="s">
        <v>18</v>
      </c>
      <c r="D850" t="s">
        <v>112</v>
      </c>
      <c r="F850" t="s">
        <v>676</v>
      </c>
      <c r="G850" t="s">
        <v>199</v>
      </c>
      <c r="H850" t="s">
        <v>51</v>
      </c>
      <c r="I850" s="49">
        <v>45394</v>
      </c>
      <c r="J850" s="47">
        <v>811712784.96000004</v>
      </c>
      <c r="K850">
        <v>12514977.92</v>
      </c>
      <c r="L850">
        <v>810759362.39999998</v>
      </c>
      <c r="M850">
        <v>5.023841</v>
      </c>
      <c r="N850">
        <v>3.2382840000000002</v>
      </c>
      <c r="O850" t="s">
        <v>42</v>
      </c>
      <c r="P850" t="s">
        <v>23</v>
      </c>
      <c r="Q850" s="49">
        <v>42472</v>
      </c>
      <c r="R850" s="49" t="str">
        <f>DataTable[HLD_Portfolio]&amp;DataTable[HLD_Date]</f>
        <v>SCBPLUS43381</v>
      </c>
    </row>
    <row r="851" spans="1:18" x14ac:dyDescent="0.2">
      <c r="A851" s="49">
        <v>43381</v>
      </c>
      <c r="B851" t="s">
        <v>384</v>
      </c>
      <c r="C851" t="s">
        <v>18</v>
      </c>
      <c r="D851" t="s">
        <v>112</v>
      </c>
      <c r="F851" t="s">
        <v>568</v>
      </c>
      <c r="G851" t="s">
        <v>199</v>
      </c>
      <c r="H851" t="s">
        <v>51</v>
      </c>
      <c r="I851" s="49">
        <v>45681</v>
      </c>
      <c r="J851" s="47">
        <v>37382077.82</v>
      </c>
      <c r="K851">
        <v>244501.5</v>
      </c>
      <c r="L851">
        <v>38000000</v>
      </c>
      <c r="M851">
        <v>5.6386060000000002</v>
      </c>
      <c r="N851">
        <v>3.05</v>
      </c>
      <c r="O851" t="s">
        <v>42</v>
      </c>
      <c r="P851" t="s">
        <v>23</v>
      </c>
      <c r="Q851" s="49">
        <v>43124</v>
      </c>
      <c r="R851" s="49" t="str">
        <f>DataTable[HLD_Portfolio]&amp;DataTable[HLD_Date]</f>
        <v>SCBPLUS43381</v>
      </c>
    </row>
    <row r="852" spans="1:18" x14ac:dyDescent="0.2">
      <c r="A852" s="49">
        <v>43381</v>
      </c>
      <c r="B852" t="s">
        <v>384</v>
      </c>
      <c r="C852" t="s">
        <v>18</v>
      </c>
      <c r="D852" t="s">
        <v>112</v>
      </c>
      <c r="F852" t="s">
        <v>744</v>
      </c>
      <c r="G852" t="s">
        <v>202</v>
      </c>
      <c r="H852" t="s">
        <v>51</v>
      </c>
      <c r="I852" s="49">
        <v>45122</v>
      </c>
      <c r="J852" s="47">
        <v>509985954.60000002</v>
      </c>
      <c r="K852">
        <v>3713080.5</v>
      </c>
      <c r="L852">
        <v>510259314.60000002</v>
      </c>
      <c r="M852">
        <v>4.3722240000000001</v>
      </c>
      <c r="N852">
        <v>3.0749059999999999</v>
      </c>
      <c r="O852" t="s">
        <v>42</v>
      </c>
      <c r="P852" t="s">
        <v>23</v>
      </c>
      <c r="Q852" s="49">
        <v>42566</v>
      </c>
      <c r="R852" s="49" t="str">
        <f>DataTable[HLD_Portfolio]&amp;DataTable[HLD_Date]</f>
        <v>SCBPLUS43381</v>
      </c>
    </row>
    <row r="853" spans="1:18" x14ac:dyDescent="0.2">
      <c r="A853" s="49">
        <v>43381</v>
      </c>
      <c r="B853" t="s">
        <v>384</v>
      </c>
      <c r="C853" t="s">
        <v>18</v>
      </c>
      <c r="D853" t="s">
        <v>112</v>
      </c>
      <c r="F853" t="s">
        <v>846</v>
      </c>
      <c r="G853" t="s">
        <v>847</v>
      </c>
      <c r="H853" t="s">
        <v>47</v>
      </c>
      <c r="I853" s="49">
        <v>44367</v>
      </c>
      <c r="J853" s="47">
        <v>471832893</v>
      </c>
      <c r="K853">
        <v>35368496</v>
      </c>
      <c r="L853">
        <v>494895000</v>
      </c>
      <c r="M853">
        <v>2.4852720000000001</v>
      </c>
      <c r="N853">
        <v>3.2</v>
      </c>
      <c r="O853" t="s">
        <v>42</v>
      </c>
      <c r="P853" t="s">
        <v>37</v>
      </c>
      <c r="Q853" s="49">
        <v>42566</v>
      </c>
      <c r="R853" s="49" t="str">
        <f>DataTable[HLD_Portfolio]&amp;DataTable[HLD_Date]</f>
        <v>SCBPLUS43381</v>
      </c>
    </row>
    <row r="854" spans="1:18" x14ac:dyDescent="0.2">
      <c r="A854" s="49">
        <v>43381</v>
      </c>
      <c r="B854" t="s">
        <v>384</v>
      </c>
      <c r="C854" t="s">
        <v>18</v>
      </c>
      <c r="D854" t="s">
        <v>112</v>
      </c>
      <c r="F854" t="s">
        <v>848</v>
      </c>
      <c r="G854" t="s">
        <v>847</v>
      </c>
      <c r="H854" t="s">
        <v>47</v>
      </c>
      <c r="I854" s="49">
        <v>44367</v>
      </c>
      <c r="J854" s="47">
        <v>314489276</v>
      </c>
      <c r="K854">
        <v>24164623.079999998</v>
      </c>
      <c r="L854">
        <v>329930000</v>
      </c>
      <c r="M854">
        <v>2.4791110000000001</v>
      </c>
      <c r="N854">
        <v>3.3</v>
      </c>
      <c r="O854" t="s">
        <v>42</v>
      </c>
      <c r="P854" t="s">
        <v>37</v>
      </c>
      <c r="Q854" s="49">
        <v>42571</v>
      </c>
      <c r="R854" s="49" t="str">
        <f>DataTable[HLD_Portfolio]&amp;DataTable[HLD_Date]</f>
        <v>SCBPLUS43381</v>
      </c>
    </row>
    <row r="855" spans="1:18" x14ac:dyDescent="0.2">
      <c r="A855" s="49">
        <v>43381</v>
      </c>
      <c r="B855" t="s">
        <v>384</v>
      </c>
      <c r="C855" t="s">
        <v>18</v>
      </c>
      <c r="D855" t="s">
        <v>112</v>
      </c>
      <c r="F855" t="s">
        <v>849</v>
      </c>
      <c r="G855" t="s">
        <v>850</v>
      </c>
      <c r="H855" t="s">
        <v>47</v>
      </c>
      <c r="I855" s="49">
        <v>44369</v>
      </c>
      <c r="J855" s="47">
        <v>680596008.12</v>
      </c>
      <c r="K855">
        <v>48027460.880000003</v>
      </c>
      <c r="L855">
        <v>659860000</v>
      </c>
      <c r="M855">
        <v>2.4883130000000002</v>
      </c>
      <c r="N855">
        <v>3.2268910000000002</v>
      </c>
      <c r="O855" t="s">
        <v>42</v>
      </c>
      <c r="P855" t="s">
        <v>37</v>
      </c>
      <c r="Q855" s="49">
        <v>42558</v>
      </c>
      <c r="R855" s="49" t="str">
        <f>DataTable[HLD_Portfolio]&amp;DataTable[HLD_Date]</f>
        <v>SCBPLUS43381</v>
      </c>
    </row>
    <row r="856" spans="1:18" x14ac:dyDescent="0.2">
      <c r="A856" s="49">
        <v>43381</v>
      </c>
      <c r="B856" t="s">
        <v>384</v>
      </c>
      <c r="C856" t="s">
        <v>18</v>
      </c>
      <c r="D856" t="s">
        <v>112</v>
      </c>
      <c r="F856" t="s">
        <v>760</v>
      </c>
      <c r="G856" t="s">
        <v>621</v>
      </c>
      <c r="H856" t="s">
        <v>51</v>
      </c>
      <c r="I856" s="49">
        <v>44112</v>
      </c>
      <c r="J856" s="47">
        <v>150584665.5</v>
      </c>
      <c r="K856">
        <v>12288</v>
      </c>
      <c r="L856">
        <v>151662204</v>
      </c>
      <c r="M856">
        <v>1.9253720000000001</v>
      </c>
      <c r="N856">
        <v>2.42</v>
      </c>
      <c r="O856" t="s">
        <v>42</v>
      </c>
      <c r="P856" t="s">
        <v>23</v>
      </c>
      <c r="Q856" s="49">
        <v>42285</v>
      </c>
      <c r="R856" s="49" t="str">
        <f>DataTable[HLD_Portfolio]&amp;DataTable[HLD_Date]</f>
        <v>SCBPLUS43381</v>
      </c>
    </row>
    <row r="857" spans="1:18" x14ac:dyDescent="0.2">
      <c r="A857" s="49">
        <v>43381</v>
      </c>
      <c r="B857" t="s">
        <v>384</v>
      </c>
      <c r="C857" t="s">
        <v>18</v>
      </c>
      <c r="D857" t="s">
        <v>112</v>
      </c>
      <c r="F857" t="s">
        <v>851</v>
      </c>
      <c r="G857" t="s">
        <v>81</v>
      </c>
      <c r="H857" t="s">
        <v>51</v>
      </c>
      <c r="I857" s="49">
        <v>44920</v>
      </c>
      <c r="J857" s="47">
        <v>255788540</v>
      </c>
      <c r="K857">
        <v>2541095</v>
      </c>
      <c r="L857">
        <v>256886475</v>
      </c>
      <c r="M857">
        <v>3.8617080000000001</v>
      </c>
      <c r="N857">
        <v>2.8</v>
      </c>
      <c r="O857" t="s">
        <v>42</v>
      </c>
      <c r="P857" t="s">
        <v>23</v>
      </c>
      <c r="Q857" s="49">
        <v>42363</v>
      </c>
      <c r="R857" s="49" t="str">
        <f>DataTable[HLD_Portfolio]&amp;DataTable[HLD_Date]</f>
        <v>SCBPLUS43381</v>
      </c>
    </row>
    <row r="858" spans="1:18" x14ac:dyDescent="0.2">
      <c r="A858" s="49">
        <v>43381</v>
      </c>
      <c r="B858" t="s">
        <v>384</v>
      </c>
      <c r="C858" t="s">
        <v>18</v>
      </c>
      <c r="D858" t="s">
        <v>112</v>
      </c>
      <c r="F858" t="s">
        <v>852</v>
      </c>
      <c r="G858" t="s">
        <v>81</v>
      </c>
      <c r="H858" t="s">
        <v>51</v>
      </c>
      <c r="I858" s="49">
        <v>44865</v>
      </c>
      <c r="J858" s="47">
        <v>384867269.5</v>
      </c>
      <c r="K858">
        <v>8543836</v>
      </c>
      <c r="L858">
        <v>386653039.5</v>
      </c>
      <c r="M858">
        <v>3.5833560000000002</v>
      </c>
      <c r="N858">
        <v>2.75</v>
      </c>
      <c r="O858" t="s">
        <v>42</v>
      </c>
      <c r="P858" t="s">
        <v>23</v>
      </c>
      <c r="Q858" s="49">
        <v>40998</v>
      </c>
      <c r="R858" s="49" t="str">
        <f>DataTable[HLD_Portfolio]&amp;DataTable[HLD_Date]</f>
        <v>SCBPLUS43381</v>
      </c>
    </row>
    <row r="859" spans="1:18" x14ac:dyDescent="0.2">
      <c r="A859" s="49">
        <v>43381</v>
      </c>
      <c r="B859" t="s">
        <v>384</v>
      </c>
      <c r="C859" t="s">
        <v>18</v>
      </c>
      <c r="D859" t="s">
        <v>112</v>
      </c>
      <c r="F859" t="s">
        <v>853</v>
      </c>
      <c r="G859" t="s">
        <v>81</v>
      </c>
      <c r="H859" t="s">
        <v>51</v>
      </c>
      <c r="I859" s="49">
        <v>44998</v>
      </c>
      <c r="J859" s="47">
        <v>107002981</v>
      </c>
      <c r="K859">
        <v>327671</v>
      </c>
      <c r="L859">
        <v>107458827</v>
      </c>
      <c r="M859">
        <v>3.9980030000000002</v>
      </c>
      <c r="N859">
        <v>2.8</v>
      </c>
      <c r="O859" t="s">
        <v>42</v>
      </c>
      <c r="P859" t="s">
        <v>23</v>
      </c>
      <c r="Q859" s="49">
        <v>41346</v>
      </c>
      <c r="R859" s="49" t="str">
        <f>DataTable[HLD_Portfolio]&amp;DataTable[HLD_Date]</f>
        <v>SCBPLUS43381</v>
      </c>
    </row>
    <row r="860" spans="1:18" x14ac:dyDescent="0.2">
      <c r="A860" s="49">
        <v>43381</v>
      </c>
      <c r="B860" t="s">
        <v>384</v>
      </c>
      <c r="C860" t="s">
        <v>18</v>
      </c>
      <c r="D860" t="s">
        <v>112</v>
      </c>
      <c r="F860" t="s">
        <v>854</v>
      </c>
      <c r="G860" t="s">
        <v>81</v>
      </c>
      <c r="H860" t="s">
        <v>51</v>
      </c>
      <c r="I860" s="49">
        <v>45106</v>
      </c>
      <c r="J860" s="47">
        <v>237192829.44</v>
      </c>
      <c r="K860">
        <v>1732930.99</v>
      </c>
      <c r="L860">
        <v>239495049.53999999</v>
      </c>
      <c r="M860">
        <v>4.3592750000000002</v>
      </c>
      <c r="N860">
        <v>2.78</v>
      </c>
      <c r="O860" t="s">
        <v>42</v>
      </c>
      <c r="P860" t="s">
        <v>23</v>
      </c>
      <c r="Q860" s="49">
        <v>43287</v>
      </c>
      <c r="R860" s="49" t="str">
        <f>DataTable[HLD_Portfolio]&amp;DataTable[HLD_Date]</f>
        <v>SCBPLUS43381</v>
      </c>
    </row>
    <row r="861" spans="1:18" x14ac:dyDescent="0.2">
      <c r="A861" s="49">
        <v>43381</v>
      </c>
      <c r="B861" t="s">
        <v>384</v>
      </c>
      <c r="C861" t="s">
        <v>18</v>
      </c>
      <c r="D861" t="s">
        <v>112</v>
      </c>
      <c r="F861" t="s">
        <v>578</v>
      </c>
      <c r="G861" t="s">
        <v>579</v>
      </c>
      <c r="H861" t="s">
        <v>47</v>
      </c>
      <c r="I861" s="49">
        <v>43813</v>
      </c>
      <c r="J861" s="47">
        <v>17966452.32</v>
      </c>
      <c r="K861">
        <v>114243.3</v>
      </c>
      <c r="L861">
        <v>18000000</v>
      </c>
      <c r="M861">
        <v>1.1538170000000001</v>
      </c>
      <c r="N861">
        <v>1.98</v>
      </c>
      <c r="O861" t="s">
        <v>42</v>
      </c>
      <c r="P861" t="s">
        <v>23</v>
      </c>
      <c r="Q861" s="49">
        <v>43083</v>
      </c>
      <c r="R861" s="49" t="str">
        <f>DataTable[HLD_Portfolio]&amp;DataTable[HLD_Date]</f>
        <v>SCBPLUS43381</v>
      </c>
    </row>
    <row r="862" spans="1:18" x14ac:dyDescent="0.2">
      <c r="A862" s="49">
        <v>43381</v>
      </c>
      <c r="B862" t="s">
        <v>384</v>
      </c>
      <c r="C862" t="s">
        <v>18</v>
      </c>
      <c r="D862" t="s">
        <v>112</v>
      </c>
      <c r="F862" t="s">
        <v>770</v>
      </c>
      <c r="G862" t="s">
        <v>771</v>
      </c>
      <c r="H862" t="s">
        <v>47</v>
      </c>
      <c r="I862" s="49">
        <v>44347</v>
      </c>
      <c r="J862" s="47">
        <v>173743802.75</v>
      </c>
      <c r="K862">
        <v>1488555.25</v>
      </c>
      <c r="L862">
        <v>174864513.25</v>
      </c>
      <c r="M862">
        <v>2.522135</v>
      </c>
      <c r="N862">
        <v>2.398571</v>
      </c>
      <c r="O862" t="s">
        <v>42</v>
      </c>
      <c r="P862" t="s">
        <v>23</v>
      </c>
      <c r="Q862" s="49">
        <v>43251</v>
      </c>
      <c r="R862" s="49" t="str">
        <f>DataTable[HLD_Portfolio]&amp;DataTable[HLD_Date]</f>
        <v>SCBPLUS43381</v>
      </c>
    </row>
    <row r="863" spans="1:18" x14ac:dyDescent="0.2">
      <c r="A863" s="49">
        <v>43381</v>
      </c>
      <c r="B863" t="s">
        <v>384</v>
      </c>
      <c r="C863" t="s">
        <v>18</v>
      </c>
      <c r="D863" t="s">
        <v>112</v>
      </c>
      <c r="F863" t="s">
        <v>775</v>
      </c>
      <c r="G863" t="s">
        <v>233</v>
      </c>
      <c r="H863" t="s">
        <v>126</v>
      </c>
      <c r="I863" s="49">
        <v>43642</v>
      </c>
      <c r="J863" s="47">
        <v>75525123</v>
      </c>
      <c r="K863">
        <v>662363.25</v>
      </c>
      <c r="L863">
        <v>75428277</v>
      </c>
      <c r="M863">
        <v>0.69894900000000004</v>
      </c>
      <c r="N863">
        <v>2.25</v>
      </c>
      <c r="O863" t="s">
        <v>42</v>
      </c>
      <c r="P863" t="s">
        <v>23</v>
      </c>
      <c r="Q863" s="49">
        <v>42181</v>
      </c>
      <c r="R863" s="49" t="str">
        <f>DataTable[HLD_Portfolio]&amp;DataTable[HLD_Date]</f>
        <v>SCBPLUS43381</v>
      </c>
    </row>
    <row r="864" spans="1:18" x14ac:dyDescent="0.2">
      <c r="A864" s="49">
        <v>43381</v>
      </c>
      <c r="B864" t="s">
        <v>384</v>
      </c>
      <c r="C864" t="s">
        <v>18</v>
      </c>
      <c r="D864" t="s">
        <v>112</v>
      </c>
      <c r="F864" t="s">
        <v>232</v>
      </c>
      <c r="G864" t="s">
        <v>233</v>
      </c>
      <c r="H864" t="s">
        <v>126</v>
      </c>
      <c r="I864" s="49">
        <v>44260</v>
      </c>
      <c r="J864" s="47">
        <v>5931946.2000000002</v>
      </c>
      <c r="K864">
        <v>12072.3</v>
      </c>
      <c r="L864">
        <v>6000000</v>
      </c>
      <c r="M864">
        <v>2.3187419999999999</v>
      </c>
      <c r="N864">
        <v>2.16</v>
      </c>
      <c r="O864" t="s">
        <v>42</v>
      </c>
      <c r="P864" t="s">
        <v>23</v>
      </c>
      <c r="Q864" s="49">
        <v>43164</v>
      </c>
      <c r="R864" s="49" t="str">
        <f>DataTable[HLD_Portfolio]&amp;DataTable[HLD_Date]</f>
        <v>SCBPLUS43381</v>
      </c>
    </row>
    <row r="865" spans="1:18" x14ac:dyDescent="0.2">
      <c r="A865" s="49">
        <v>43381</v>
      </c>
      <c r="B865" t="s">
        <v>384</v>
      </c>
      <c r="C865" t="s">
        <v>18</v>
      </c>
      <c r="D865" t="s">
        <v>112</v>
      </c>
      <c r="F865" t="s">
        <v>235</v>
      </c>
      <c r="G865" t="s">
        <v>84</v>
      </c>
      <c r="H865" t="s">
        <v>47</v>
      </c>
      <c r="I865" s="49">
        <v>44270</v>
      </c>
      <c r="J865" s="47">
        <v>22782775.579999998</v>
      </c>
      <c r="K865">
        <v>31607.75</v>
      </c>
      <c r="L865">
        <v>23000000</v>
      </c>
      <c r="M865">
        <v>2.3493360000000001</v>
      </c>
      <c r="N865">
        <v>2.09</v>
      </c>
      <c r="O865" t="s">
        <v>42</v>
      </c>
      <c r="P865" t="s">
        <v>23</v>
      </c>
      <c r="Q865" s="49">
        <v>43174</v>
      </c>
      <c r="R865" s="49" t="str">
        <f>DataTable[HLD_Portfolio]&amp;DataTable[HLD_Date]</f>
        <v>SCBPLUS43381</v>
      </c>
    </row>
    <row r="866" spans="1:18" x14ac:dyDescent="0.2">
      <c r="A866" s="49">
        <v>43381</v>
      </c>
      <c r="B866" t="s">
        <v>384</v>
      </c>
      <c r="C866" t="s">
        <v>18</v>
      </c>
      <c r="D866" t="s">
        <v>112</v>
      </c>
      <c r="F866" t="s">
        <v>855</v>
      </c>
      <c r="G866" t="s">
        <v>856</v>
      </c>
      <c r="H866" t="s">
        <v>47</v>
      </c>
      <c r="I866" s="49">
        <v>45139</v>
      </c>
      <c r="J866" s="47">
        <v>98078686</v>
      </c>
      <c r="K866">
        <v>538767</v>
      </c>
      <c r="L866">
        <v>100000000</v>
      </c>
      <c r="M866">
        <v>4.433986</v>
      </c>
      <c r="N866">
        <v>2.85</v>
      </c>
      <c r="O866" t="s">
        <v>42</v>
      </c>
      <c r="P866" t="s">
        <v>23</v>
      </c>
      <c r="Q866" s="49">
        <v>42583</v>
      </c>
      <c r="R866" s="49" t="str">
        <f>DataTable[HLD_Portfolio]&amp;DataTable[HLD_Date]</f>
        <v>SCBPLUS43381</v>
      </c>
    </row>
    <row r="867" spans="1:18" x14ac:dyDescent="0.2">
      <c r="A867" s="49">
        <v>43381</v>
      </c>
      <c r="B867" t="s">
        <v>384</v>
      </c>
      <c r="C867" t="s">
        <v>18</v>
      </c>
      <c r="D867" t="s">
        <v>112</v>
      </c>
      <c r="F867" t="s">
        <v>637</v>
      </c>
      <c r="G867" t="s">
        <v>237</v>
      </c>
      <c r="H867" t="s">
        <v>206</v>
      </c>
      <c r="I867" s="49">
        <v>44639</v>
      </c>
      <c r="J867" s="47">
        <v>499574290</v>
      </c>
      <c r="K867">
        <v>876710</v>
      </c>
      <c r="L867">
        <v>500000000</v>
      </c>
      <c r="M867">
        <v>3.227789</v>
      </c>
      <c r="N867">
        <v>3.2</v>
      </c>
      <c r="O867" t="s">
        <v>42</v>
      </c>
      <c r="P867" t="s">
        <v>23</v>
      </c>
      <c r="Q867" s="49">
        <v>43362</v>
      </c>
      <c r="R867" s="49" t="str">
        <f>DataTable[HLD_Portfolio]&amp;DataTable[HLD_Date]</f>
        <v>SCBPLUS43381</v>
      </c>
    </row>
    <row r="868" spans="1:18" x14ac:dyDescent="0.2">
      <c r="A868" s="49">
        <v>43381</v>
      </c>
      <c r="B868" t="s">
        <v>384</v>
      </c>
      <c r="C868" t="s">
        <v>18</v>
      </c>
      <c r="D868" t="s">
        <v>112</v>
      </c>
      <c r="F868" t="s">
        <v>686</v>
      </c>
      <c r="G868" t="s">
        <v>237</v>
      </c>
      <c r="H868" t="s">
        <v>206</v>
      </c>
      <c r="I868" s="49">
        <v>45007</v>
      </c>
      <c r="J868" s="47">
        <v>11760203.76</v>
      </c>
      <c r="K868">
        <v>15425.76</v>
      </c>
      <c r="L868">
        <v>12000000</v>
      </c>
      <c r="M868">
        <v>4.141635</v>
      </c>
      <c r="N868">
        <v>2.76</v>
      </c>
      <c r="O868" t="s">
        <v>42</v>
      </c>
      <c r="P868" t="s">
        <v>23</v>
      </c>
      <c r="Q868" s="49">
        <v>43181</v>
      </c>
      <c r="R868" s="49" t="str">
        <f>DataTable[HLD_Portfolio]&amp;DataTable[HLD_Date]</f>
        <v>SCBPLUS43381</v>
      </c>
    </row>
    <row r="869" spans="1:18" x14ac:dyDescent="0.2">
      <c r="A869" s="49">
        <v>43381</v>
      </c>
      <c r="B869" t="s">
        <v>384</v>
      </c>
      <c r="C869" t="s">
        <v>18</v>
      </c>
      <c r="D869" t="s">
        <v>112</v>
      </c>
      <c r="F869" t="s">
        <v>857</v>
      </c>
      <c r="G869" t="s">
        <v>237</v>
      </c>
      <c r="H869" t="s">
        <v>206</v>
      </c>
      <c r="I869" s="49">
        <v>46834</v>
      </c>
      <c r="J869" s="47">
        <v>60372291</v>
      </c>
      <c r="K869">
        <v>100602.6</v>
      </c>
      <c r="L869">
        <v>60000000</v>
      </c>
      <c r="M869">
        <v>7.9439419999999998</v>
      </c>
      <c r="N869">
        <v>3.6</v>
      </c>
      <c r="O869" t="s">
        <v>42</v>
      </c>
      <c r="P869" t="s">
        <v>23</v>
      </c>
      <c r="Q869" s="49">
        <v>43181</v>
      </c>
      <c r="R869" s="49" t="str">
        <f>DataTable[HLD_Portfolio]&amp;DataTable[HLD_Date]</f>
        <v>SCBPLUS43381</v>
      </c>
    </row>
    <row r="870" spans="1:18" x14ac:dyDescent="0.2">
      <c r="A870" s="49">
        <v>43381</v>
      </c>
      <c r="B870" t="s">
        <v>384</v>
      </c>
      <c r="C870" t="s">
        <v>18</v>
      </c>
      <c r="D870" t="s">
        <v>112</v>
      </c>
      <c r="F870" t="s">
        <v>586</v>
      </c>
      <c r="G870" t="s">
        <v>585</v>
      </c>
      <c r="H870" t="s">
        <v>47</v>
      </c>
      <c r="I870" s="49">
        <v>44269</v>
      </c>
      <c r="J870" s="47">
        <v>1983886.62</v>
      </c>
      <c r="K870">
        <v>3013.7</v>
      </c>
      <c r="L870">
        <v>2000000</v>
      </c>
      <c r="M870">
        <v>2.343461</v>
      </c>
      <c r="N870">
        <v>2.2000000000000002</v>
      </c>
      <c r="O870" t="s">
        <v>42</v>
      </c>
      <c r="P870" t="s">
        <v>23</v>
      </c>
      <c r="Q870" s="49">
        <v>43173</v>
      </c>
      <c r="R870" s="49" t="str">
        <f>DataTable[HLD_Portfolio]&amp;DataTable[HLD_Date]</f>
        <v>SCBPLUS43381</v>
      </c>
    </row>
    <row r="871" spans="1:18" x14ac:dyDescent="0.2">
      <c r="A871" s="49">
        <v>43381</v>
      </c>
      <c r="B871" t="s">
        <v>384</v>
      </c>
      <c r="C871" t="s">
        <v>18</v>
      </c>
      <c r="D871" t="s">
        <v>112</v>
      </c>
      <c r="F871" t="s">
        <v>858</v>
      </c>
      <c r="G871" t="s">
        <v>859</v>
      </c>
      <c r="H871" t="s">
        <v>43</v>
      </c>
      <c r="I871" s="49">
        <v>44949</v>
      </c>
      <c r="J871" s="47">
        <v>48149819.240000002</v>
      </c>
      <c r="K871">
        <v>378732.15</v>
      </c>
      <c r="L871">
        <v>50431669.719999999</v>
      </c>
      <c r="M871">
        <v>3.9132579999999999</v>
      </c>
      <c r="N871">
        <v>3.14615</v>
      </c>
      <c r="O871" t="s">
        <v>42</v>
      </c>
      <c r="P871" t="s">
        <v>37</v>
      </c>
      <c r="Q871" s="49">
        <v>41297</v>
      </c>
      <c r="R871" s="49" t="str">
        <f>DataTable[HLD_Portfolio]&amp;DataTable[HLD_Date]</f>
        <v>SCBPLUS43381</v>
      </c>
    </row>
    <row r="872" spans="1:18" x14ac:dyDescent="0.2">
      <c r="A872" s="49">
        <v>43381</v>
      </c>
      <c r="B872" t="s">
        <v>384</v>
      </c>
      <c r="C872" t="s">
        <v>18</v>
      </c>
      <c r="D872" t="s">
        <v>112</v>
      </c>
      <c r="F872" t="s">
        <v>723</v>
      </c>
      <c r="G872" t="s">
        <v>724</v>
      </c>
      <c r="H872" t="s">
        <v>47</v>
      </c>
      <c r="I872" s="49">
        <v>44375</v>
      </c>
      <c r="J872" s="47">
        <v>96655648.060000002</v>
      </c>
      <c r="K872">
        <v>684314.63</v>
      </c>
      <c r="L872">
        <v>97000000</v>
      </c>
      <c r="M872">
        <v>2.5937239999999999</v>
      </c>
      <c r="N872">
        <v>2.5</v>
      </c>
      <c r="O872" t="s">
        <v>42</v>
      </c>
      <c r="P872" t="s">
        <v>23</v>
      </c>
      <c r="Q872" s="49">
        <v>43279</v>
      </c>
      <c r="R872" s="49" t="str">
        <f>DataTable[HLD_Portfolio]&amp;DataTable[HLD_Date]</f>
        <v>SCBPLUS43381</v>
      </c>
    </row>
    <row r="873" spans="1:18" x14ac:dyDescent="0.2">
      <c r="A873" s="49">
        <v>43381</v>
      </c>
      <c r="B873" t="s">
        <v>384</v>
      </c>
      <c r="C873" t="s">
        <v>18</v>
      </c>
      <c r="D873" t="s">
        <v>112</v>
      </c>
      <c r="F873" t="s">
        <v>588</v>
      </c>
      <c r="G873" t="s">
        <v>245</v>
      </c>
      <c r="H873" t="s">
        <v>29</v>
      </c>
      <c r="I873" s="49">
        <v>43431</v>
      </c>
      <c r="J873" s="47">
        <v>42015309</v>
      </c>
      <c r="K873">
        <v>579807.06000000006</v>
      </c>
      <c r="L873">
        <v>42000000</v>
      </c>
      <c r="M873">
        <v>0.133906</v>
      </c>
      <c r="N873">
        <v>2.2799999999999998</v>
      </c>
      <c r="O873" t="s">
        <v>42</v>
      </c>
      <c r="P873" t="s">
        <v>23</v>
      </c>
      <c r="Q873" s="49">
        <v>43161</v>
      </c>
      <c r="R873" s="49" t="str">
        <f>DataTable[HLD_Portfolio]&amp;DataTable[HLD_Date]</f>
        <v>SCBPLUS43381</v>
      </c>
    </row>
    <row r="874" spans="1:18" x14ac:dyDescent="0.2">
      <c r="A874" s="49">
        <v>43381</v>
      </c>
      <c r="B874" t="s">
        <v>384</v>
      </c>
      <c r="C874" t="s">
        <v>18</v>
      </c>
      <c r="D874" t="s">
        <v>112</v>
      </c>
      <c r="F874" t="s">
        <v>589</v>
      </c>
      <c r="G874" t="s">
        <v>245</v>
      </c>
      <c r="H874" t="s">
        <v>29</v>
      </c>
      <c r="I874" s="49">
        <v>43391</v>
      </c>
      <c r="J874" s="47">
        <v>237006370.56</v>
      </c>
      <c r="K874">
        <v>1828796.28</v>
      </c>
      <c r="L874">
        <v>237000000</v>
      </c>
      <c r="M874">
        <v>2.4646999999999999E-2</v>
      </c>
      <c r="N874">
        <v>2.15</v>
      </c>
      <c r="O874" t="s">
        <v>42</v>
      </c>
      <c r="P874" t="s">
        <v>23</v>
      </c>
      <c r="Q874" s="49">
        <v>43251</v>
      </c>
      <c r="R874" s="49" t="str">
        <f>DataTable[HLD_Portfolio]&amp;DataTable[HLD_Date]</f>
        <v>SCBPLUS43381</v>
      </c>
    </row>
    <row r="875" spans="1:18" x14ac:dyDescent="0.2">
      <c r="A875" s="49">
        <v>43381</v>
      </c>
      <c r="B875" t="s">
        <v>384</v>
      </c>
      <c r="C875" t="s">
        <v>18</v>
      </c>
      <c r="D875" t="s">
        <v>112</v>
      </c>
      <c r="F875" t="s">
        <v>638</v>
      </c>
      <c r="G875" t="s">
        <v>245</v>
      </c>
      <c r="H875" t="s">
        <v>29</v>
      </c>
      <c r="I875" s="49">
        <v>43494</v>
      </c>
      <c r="J875" s="47">
        <v>22009698.48</v>
      </c>
      <c r="K875">
        <v>219035.51999999999</v>
      </c>
      <c r="L875">
        <v>22000000</v>
      </c>
      <c r="M875">
        <v>0.30485299999999999</v>
      </c>
      <c r="N875">
        <v>2.2999999999999998</v>
      </c>
      <c r="O875" t="s">
        <v>42</v>
      </c>
      <c r="P875" t="s">
        <v>23</v>
      </c>
      <c r="Q875" s="49">
        <v>43224</v>
      </c>
      <c r="R875" s="49" t="str">
        <f>DataTable[HLD_Portfolio]&amp;DataTable[HLD_Date]</f>
        <v>SCBPLUS43381</v>
      </c>
    </row>
    <row r="876" spans="1:18" x14ac:dyDescent="0.2">
      <c r="A876" s="49">
        <v>43381</v>
      </c>
      <c r="B876" t="s">
        <v>384</v>
      </c>
      <c r="C876" t="s">
        <v>18</v>
      </c>
      <c r="D876" t="s">
        <v>112</v>
      </c>
      <c r="F876" t="s">
        <v>590</v>
      </c>
      <c r="G876" t="s">
        <v>245</v>
      </c>
      <c r="H876" t="s">
        <v>29</v>
      </c>
      <c r="I876" s="49">
        <v>43494</v>
      </c>
      <c r="J876" s="47">
        <v>155470034.12</v>
      </c>
      <c r="K876">
        <v>1312172.74</v>
      </c>
      <c r="L876">
        <v>155400000</v>
      </c>
      <c r="M876">
        <v>0.30485299999999999</v>
      </c>
      <c r="N876">
        <v>2.2999999999999998</v>
      </c>
      <c r="O876" t="s">
        <v>42</v>
      </c>
      <c r="P876" t="s">
        <v>23</v>
      </c>
      <c r="Q876" s="49">
        <v>43248</v>
      </c>
      <c r="R876" s="49" t="str">
        <f>DataTable[HLD_Portfolio]&amp;DataTable[HLD_Date]</f>
        <v>SCBPLUS43381</v>
      </c>
    </row>
    <row r="877" spans="1:18" x14ac:dyDescent="0.2">
      <c r="A877" s="49">
        <v>43381</v>
      </c>
      <c r="B877" t="s">
        <v>384</v>
      </c>
      <c r="C877" t="s">
        <v>18</v>
      </c>
      <c r="D877" t="s">
        <v>112</v>
      </c>
      <c r="F877" t="s">
        <v>725</v>
      </c>
      <c r="G877" t="s">
        <v>245</v>
      </c>
      <c r="H877" t="s">
        <v>29</v>
      </c>
      <c r="I877" s="49">
        <v>44875</v>
      </c>
      <c r="J877" s="47">
        <v>131327830.40000001</v>
      </c>
      <c r="K877">
        <v>2225030.6</v>
      </c>
      <c r="L877">
        <v>129974104</v>
      </c>
      <c r="M877">
        <v>3.6737199999999999</v>
      </c>
      <c r="N877">
        <v>4.1100000000000003</v>
      </c>
      <c r="O877" t="s">
        <v>42</v>
      </c>
      <c r="P877" t="s">
        <v>23</v>
      </c>
      <c r="Q877" s="49">
        <v>42318</v>
      </c>
      <c r="R877" s="49" t="str">
        <f>DataTable[HLD_Portfolio]&amp;DataTable[HLD_Date]</f>
        <v>SCBPLUS43381</v>
      </c>
    </row>
    <row r="878" spans="1:18" x14ac:dyDescent="0.2">
      <c r="A878" s="49">
        <v>43381</v>
      </c>
      <c r="B878" t="s">
        <v>384</v>
      </c>
      <c r="C878" t="s">
        <v>18</v>
      </c>
      <c r="D878" t="s">
        <v>112</v>
      </c>
      <c r="F878" t="s">
        <v>860</v>
      </c>
      <c r="G878" t="s">
        <v>861</v>
      </c>
      <c r="H878" t="s">
        <v>41</v>
      </c>
      <c r="I878" s="49">
        <v>44958</v>
      </c>
      <c r="J878" s="47">
        <v>38948878.399999999</v>
      </c>
      <c r="K878">
        <v>176186.4</v>
      </c>
      <c r="L878">
        <v>40056640.799999997</v>
      </c>
      <c r="M878">
        <v>4.0494389999999996</v>
      </c>
      <c r="N878">
        <v>2.2926250000000001</v>
      </c>
      <c r="O878" t="s">
        <v>42</v>
      </c>
      <c r="P878" t="s">
        <v>23</v>
      </c>
      <c r="Q878" s="49">
        <v>43132</v>
      </c>
      <c r="R878" s="49" t="str">
        <f>DataTable[HLD_Portfolio]&amp;DataTable[HLD_Date]</f>
        <v>SCBPLUS43381</v>
      </c>
    </row>
    <row r="879" spans="1:18" x14ac:dyDescent="0.2">
      <c r="A879" s="49">
        <v>43381</v>
      </c>
      <c r="B879" t="s">
        <v>384</v>
      </c>
      <c r="C879" t="s">
        <v>18</v>
      </c>
      <c r="D879" t="s">
        <v>112</v>
      </c>
      <c r="F879" t="s">
        <v>591</v>
      </c>
      <c r="G879" t="s">
        <v>247</v>
      </c>
      <c r="H879" t="s">
        <v>29</v>
      </c>
      <c r="I879" s="49">
        <v>43454</v>
      </c>
      <c r="J879" s="47">
        <v>35018641.350000001</v>
      </c>
      <c r="K879">
        <v>427863.1</v>
      </c>
      <c r="L879">
        <v>35000000</v>
      </c>
      <c r="M879">
        <v>0.196464</v>
      </c>
      <c r="N879">
        <v>2.2999999999999998</v>
      </c>
      <c r="O879" t="s">
        <v>42</v>
      </c>
      <c r="P879" t="s">
        <v>23</v>
      </c>
      <c r="Q879" s="49">
        <v>43188</v>
      </c>
      <c r="R879" s="49" t="str">
        <f>DataTable[HLD_Portfolio]&amp;DataTable[HLD_Date]</f>
        <v>SCBPLUS43381</v>
      </c>
    </row>
    <row r="880" spans="1:18" x14ac:dyDescent="0.2">
      <c r="A880" s="49">
        <v>43381</v>
      </c>
      <c r="B880" t="s">
        <v>384</v>
      </c>
      <c r="C880" t="s">
        <v>18</v>
      </c>
      <c r="D880" t="s">
        <v>112</v>
      </c>
      <c r="F880" t="s">
        <v>246</v>
      </c>
      <c r="G880" t="s">
        <v>247</v>
      </c>
      <c r="H880" t="s">
        <v>29</v>
      </c>
      <c r="I880" s="49">
        <v>43494</v>
      </c>
      <c r="J880" s="47">
        <v>67014251.57</v>
      </c>
      <c r="K880">
        <v>565737.28</v>
      </c>
      <c r="L880">
        <v>67000000</v>
      </c>
      <c r="M880">
        <v>0.30478100000000002</v>
      </c>
      <c r="N880">
        <v>2.2999999999999998</v>
      </c>
      <c r="O880" t="s">
        <v>42</v>
      </c>
      <c r="P880" t="s">
        <v>23</v>
      </c>
      <c r="Q880" s="49">
        <v>43248</v>
      </c>
      <c r="R880" s="49" t="str">
        <f>DataTable[HLD_Portfolio]&amp;DataTable[HLD_Date]</f>
        <v>SCBPLUS43381</v>
      </c>
    </row>
    <row r="881" spans="1:18" x14ac:dyDescent="0.2">
      <c r="A881" s="49">
        <v>43381</v>
      </c>
      <c r="B881" t="s">
        <v>384</v>
      </c>
      <c r="C881" t="s">
        <v>18</v>
      </c>
      <c r="D881" t="s">
        <v>112</v>
      </c>
      <c r="F881" t="s">
        <v>248</v>
      </c>
      <c r="G881" t="s">
        <v>247</v>
      </c>
      <c r="H881" t="s">
        <v>29</v>
      </c>
      <c r="I881" s="49">
        <v>44410</v>
      </c>
      <c r="J881" s="47">
        <v>137862662.40000001</v>
      </c>
      <c r="K881">
        <v>951254.7</v>
      </c>
      <c r="L881">
        <v>138000000</v>
      </c>
      <c r="M881">
        <v>2.644279</v>
      </c>
      <c r="N881">
        <v>3.7</v>
      </c>
      <c r="O881" t="s">
        <v>42</v>
      </c>
      <c r="P881" t="s">
        <v>23</v>
      </c>
      <c r="Q881" s="49">
        <v>43314</v>
      </c>
      <c r="R881" s="49" t="str">
        <f>DataTable[HLD_Portfolio]&amp;DataTable[HLD_Date]</f>
        <v>SCBPLUS43381</v>
      </c>
    </row>
    <row r="882" spans="1:18" x14ac:dyDescent="0.2">
      <c r="A882" s="49">
        <v>43381</v>
      </c>
      <c r="B882" t="s">
        <v>384</v>
      </c>
      <c r="C882" t="s">
        <v>18</v>
      </c>
      <c r="D882" t="s">
        <v>112</v>
      </c>
      <c r="F882" t="s">
        <v>249</v>
      </c>
      <c r="G882" t="s">
        <v>250</v>
      </c>
      <c r="H882" t="s">
        <v>126</v>
      </c>
      <c r="I882" s="49">
        <v>44313</v>
      </c>
      <c r="J882" s="47">
        <v>30746671.41</v>
      </c>
      <c r="K882">
        <v>150209.88</v>
      </c>
      <c r="L882">
        <v>31000000</v>
      </c>
      <c r="M882">
        <v>2.4519630000000001</v>
      </c>
      <c r="N882">
        <v>2.39</v>
      </c>
      <c r="O882" t="s">
        <v>42</v>
      </c>
      <c r="P882" t="s">
        <v>23</v>
      </c>
      <c r="Q882" s="49">
        <v>43217</v>
      </c>
      <c r="R882" s="49" t="str">
        <f>DataTable[HLD_Portfolio]&amp;DataTable[HLD_Date]</f>
        <v>SCBPLUS43381</v>
      </c>
    </row>
    <row r="883" spans="1:18" x14ac:dyDescent="0.2">
      <c r="A883" s="49">
        <v>43381</v>
      </c>
      <c r="B883" t="s">
        <v>384</v>
      </c>
      <c r="C883" t="s">
        <v>18</v>
      </c>
      <c r="D883" t="s">
        <v>112</v>
      </c>
      <c r="F883" t="s">
        <v>251</v>
      </c>
      <c r="G883" t="s">
        <v>252</v>
      </c>
      <c r="H883" t="s">
        <v>47</v>
      </c>
      <c r="I883" s="49">
        <v>44285</v>
      </c>
      <c r="J883" s="47">
        <v>61558702.600000001</v>
      </c>
      <c r="K883">
        <v>34550.120000000003</v>
      </c>
      <c r="L883">
        <v>62024876.880000003</v>
      </c>
      <c r="M883">
        <v>2.3967779999999999</v>
      </c>
      <c r="N883">
        <v>2.2438709999999999</v>
      </c>
      <c r="O883" t="s">
        <v>42</v>
      </c>
      <c r="P883" t="s">
        <v>23</v>
      </c>
      <c r="Q883" s="49">
        <v>43189</v>
      </c>
      <c r="R883" s="49" t="str">
        <f>DataTable[HLD_Portfolio]&amp;DataTable[HLD_Date]</f>
        <v>SCBPLUS43381</v>
      </c>
    </row>
    <row r="884" spans="1:18" x14ac:dyDescent="0.2">
      <c r="A884" s="49">
        <v>43381</v>
      </c>
      <c r="B884" t="s">
        <v>384</v>
      </c>
      <c r="C884" t="s">
        <v>18</v>
      </c>
      <c r="D884" t="s">
        <v>112</v>
      </c>
      <c r="F884" t="s">
        <v>717</v>
      </c>
      <c r="G884" t="s">
        <v>718</v>
      </c>
      <c r="H884" t="s">
        <v>51</v>
      </c>
      <c r="I884" s="49">
        <v>44728</v>
      </c>
      <c r="J884" s="47">
        <v>2072650.3</v>
      </c>
      <c r="K884">
        <v>24197.26</v>
      </c>
      <c r="L884">
        <v>2108106.2000000002</v>
      </c>
      <c r="M884">
        <v>3.3907820000000002</v>
      </c>
      <c r="N884">
        <v>2.2999999999999998</v>
      </c>
      <c r="O884" t="s">
        <v>42</v>
      </c>
      <c r="P884" t="s">
        <v>23</v>
      </c>
      <c r="Q884" s="49">
        <v>42171</v>
      </c>
      <c r="R884" s="49" t="str">
        <f>DataTable[HLD_Portfolio]&amp;DataTable[HLD_Date]</f>
        <v>SCBPLUS43381</v>
      </c>
    </row>
    <row r="885" spans="1:18" x14ac:dyDescent="0.2">
      <c r="A885" s="49">
        <v>43381</v>
      </c>
      <c r="B885" t="s">
        <v>384</v>
      </c>
      <c r="C885" t="s">
        <v>18</v>
      </c>
      <c r="D885" t="s">
        <v>112</v>
      </c>
      <c r="F885" t="s">
        <v>755</v>
      </c>
      <c r="G885" t="s">
        <v>577</v>
      </c>
      <c r="H885" t="s">
        <v>41</v>
      </c>
      <c r="I885" s="49">
        <v>44355</v>
      </c>
      <c r="J885" s="47">
        <v>31629598.079999998</v>
      </c>
      <c r="K885">
        <v>249100.16</v>
      </c>
      <c r="L885">
        <v>32000000</v>
      </c>
      <c r="M885">
        <v>2.544244</v>
      </c>
      <c r="N885">
        <v>2.31</v>
      </c>
      <c r="O885" t="s">
        <v>42</v>
      </c>
      <c r="P885" t="s">
        <v>23</v>
      </c>
      <c r="Q885" s="49">
        <v>43259</v>
      </c>
      <c r="R885" s="49" t="str">
        <f>DataTable[HLD_Portfolio]&amp;DataTable[HLD_Date]</f>
        <v>SCBPLUS43381</v>
      </c>
    </row>
    <row r="886" spans="1:18" x14ac:dyDescent="0.2">
      <c r="A886" s="49">
        <v>43381</v>
      </c>
      <c r="B886" t="s">
        <v>384</v>
      </c>
      <c r="C886" t="s">
        <v>18</v>
      </c>
      <c r="D886" t="s">
        <v>112</v>
      </c>
      <c r="F886" t="s">
        <v>862</v>
      </c>
      <c r="G886" t="s">
        <v>863</v>
      </c>
      <c r="I886" s="49">
        <v>44518</v>
      </c>
      <c r="J886" s="47">
        <v>129031717.09999999</v>
      </c>
      <c r="K886">
        <v>1538630.6</v>
      </c>
      <c r="L886">
        <v>130000000</v>
      </c>
      <c r="M886">
        <v>2.9101530000000002</v>
      </c>
      <c r="N886">
        <v>3</v>
      </c>
      <c r="O886" t="s">
        <v>42</v>
      </c>
      <c r="P886" t="s">
        <v>23</v>
      </c>
      <c r="Q886" s="49">
        <v>42692</v>
      </c>
      <c r="R886" s="49" t="str">
        <f>DataTable[HLD_Portfolio]&amp;DataTable[HLD_Date]</f>
        <v>SCBPLUS43381</v>
      </c>
    </row>
    <row r="887" spans="1:18" x14ac:dyDescent="0.2">
      <c r="A887" s="49">
        <v>43381</v>
      </c>
      <c r="B887" t="s">
        <v>384</v>
      </c>
      <c r="C887" t="s">
        <v>18</v>
      </c>
      <c r="D887" t="s">
        <v>112</v>
      </c>
      <c r="F887" t="s">
        <v>711</v>
      </c>
      <c r="G887" t="s">
        <v>712</v>
      </c>
      <c r="H887" t="s">
        <v>126</v>
      </c>
      <c r="I887" s="49">
        <v>44399</v>
      </c>
      <c r="J887" s="47">
        <v>297220644</v>
      </c>
      <c r="K887">
        <v>1538877</v>
      </c>
      <c r="L887">
        <v>300000000</v>
      </c>
      <c r="M887">
        <v>2.6645370000000002</v>
      </c>
      <c r="N887">
        <v>2.37</v>
      </c>
      <c r="O887" t="s">
        <v>42</v>
      </c>
      <c r="P887" t="s">
        <v>23</v>
      </c>
      <c r="Q887" s="49">
        <v>42573</v>
      </c>
      <c r="R887" s="49" t="str">
        <f>DataTable[HLD_Portfolio]&amp;DataTable[HLD_Date]</f>
        <v>SCBPLUS43381</v>
      </c>
    </row>
    <row r="888" spans="1:18" x14ac:dyDescent="0.2">
      <c r="A888" s="49">
        <v>43381</v>
      </c>
      <c r="B888" t="s">
        <v>384</v>
      </c>
      <c r="C888" t="s">
        <v>18</v>
      </c>
      <c r="D888" t="s">
        <v>265</v>
      </c>
      <c r="F888" t="s">
        <v>864</v>
      </c>
      <c r="G888" t="s">
        <v>865</v>
      </c>
      <c r="H888" t="s">
        <v>572</v>
      </c>
      <c r="I888" s="49">
        <v>43628</v>
      </c>
      <c r="J888" s="47">
        <v>368455825.80000001</v>
      </c>
      <c r="K888">
        <v>4030864.79</v>
      </c>
      <c r="L888">
        <v>369521600</v>
      </c>
      <c r="M888">
        <v>0.67091999999999996</v>
      </c>
      <c r="N888">
        <v>3.3</v>
      </c>
      <c r="O888" t="s">
        <v>42</v>
      </c>
      <c r="P888" t="s">
        <v>37</v>
      </c>
      <c r="Q888" s="49">
        <v>43263</v>
      </c>
      <c r="R888" s="49" t="str">
        <f>DataTable[HLD_Portfolio]&amp;DataTable[HLD_Date]</f>
        <v>SCBPLUS43381</v>
      </c>
    </row>
    <row r="889" spans="1:18" x14ac:dyDescent="0.2">
      <c r="A889" s="49">
        <v>43381</v>
      </c>
      <c r="B889" t="s">
        <v>384</v>
      </c>
      <c r="C889" t="s">
        <v>18</v>
      </c>
      <c r="D889" t="s">
        <v>265</v>
      </c>
      <c r="F889" t="s">
        <v>866</v>
      </c>
      <c r="G889" t="s">
        <v>267</v>
      </c>
      <c r="H889" t="s">
        <v>47</v>
      </c>
      <c r="I889" s="49">
        <v>43572</v>
      </c>
      <c r="J889" s="47">
        <v>636397785.92999995</v>
      </c>
      <c r="K889">
        <v>9781416.3800000008</v>
      </c>
      <c r="L889">
        <v>636764900</v>
      </c>
      <c r="M889">
        <v>0.52180700000000002</v>
      </c>
      <c r="N889">
        <v>3.16</v>
      </c>
      <c r="O889" t="s">
        <v>42</v>
      </c>
      <c r="P889" t="s">
        <v>37</v>
      </c>
      <c r="Q889" s="49">
        <v>43207</v>
      </c>
      <c r="R889" s="49" t="str">
        <f>DataTable[HLD_Portfolio]&amp;DataTable[HLD_Date]</f>
        <v>SCBPLUS43381</v>
      </c>
    </row>
    <row r="890" spans="1:18" x14ac:dyDescent="0.2">
      <c r="A890" s="49">
        <v>43381</v>
      </c>
      <c r="B890" t="s">
        <v>384</v>
      </c>
      <c r="C890" t="s">
        <v>18</v>
      </c>
      <c r="D890" t="s">
        <v>265</v>
      </c>
      <c r="F890" t="s">
        <v>867</v>
      </c>
      <c r="G890" t="s">
        <v>868</v>
      </c>
      <c r="H890" t="s">
        <v>51</v>
      </c>
      <c r="I890" s="49">
        <v>44470</v>
      </c>
      <c r="J890" s="47">
        <v>95949153.829999998</v>
      </c>
      <c r="K890">
        <v>68361.5</v>
      </c>
      <c r="L890">
        <v>99467378.219999999</v>
      </c>
      <c r="M890">
        <v>2.8242159999999998</v>
      </c>
      <c r="N890">
        <v>2.9335770000000001</v>
      </c>
      <c r="O890" t="s">
        <v>42</v>
      </c>
      <c r="P890" t="s">
        <v>37</v>
      </c>
      <c r="Q890" s="49">
        <v>42461</v>
      </c>
      <c r="R890" s="49" t="str">
        <f>DataTable[HLD_Portfolio]&amp;DataTable[HLD_Date]</f>
        <v>SCBPLUS43381</v>
      </c>
    </row>
    <row r="891" spans="1:18" x14ac:dyDescent="0.2">
      <c r="A891" s="49">
        <v>43381</v>
      </c>
      <c r="B891" t="s">
        <v>384</v>
      </c>
      <c r="C891" t="s">
        <v>18</v>
      </c>
      <c r="D891" t="s">
        <v>804</v>
      </c>
      <c r="E891" t="s">
        <v>804</v>
      </c>
      <c r="F891" t="s">
        <v>869</v>
      </c>
      <c r="G891" t="s">
        <v>870</v>
      </c>
      <c r="I891" s="49">
        <v>47848</v>
      </c>
      <c r="J891" s="47">
        <v>487398869.30000001</v>
      </c>
      <c r="L891">
        <v>467514130.23000002</v>
      </c>
      <c r="M891">
        <v>0</v>
      </c>
      <c r="N891">
        <v>0</v>
      </c>
      <c r="O891" t="s">
        <v>42</v>
      </c>
      <c r="P891" t="s">
        <v>37</v>
      </c>
      <c r="Q891" s="49">
        <v>43070</v>
      </c>
      <c r="R891" s="49" t="str">
        <f>DataTable[HLD_Portfolio]&amp;DataTable[HLD_Date]</f>
        <v>SCBPLUS43381</v>
      </c>
    </row>
    <row r="892" spans="1:18" x14ac:dyDescent="0.2">
      <c r="A892" s="49">
        <v>43381</v>
      </c>
      <c r="B892" t="s">
        <v>384</v>
      </c>
      <c r="C892" t="s">
        <v>18</v>
      </c>
      <c r="D892" t="s">
        <v>804</v>
      </c>
      <c r="E892" t="s">
        <v>804</v>
      </c>
      <c r="F892" t="s">
        <v>871</v>
      </c>
      <c r="G892" t="s">
        <v>870</v>
      </c>
      <c r="I892" s="49">
        <v>47848</v>
      </c>
      <c r="J892" s="47">
        <v>488073710.44</v>
      </c>
      <c r="L892">
        <v>471305087.43000001</v>
      </c>
      <c r="M892">
        <v>0</v>
      </c>
      <c r="N892">
        <v>0</v>
      </c>
      <c r="O892" t="s">
        <v>42</v>
      </c>
      <c r="P892" t="s">
        <v>33</v>
      </c>
      <c r="Q892" s="49">
        <v>42905</v>
      </c>
      <c r="R892" s="49" t="str">
        <f>DataTable[HLD_Portfolio]&amp;DataTable[HLD_Date]</f>
        <v>SCBPLUS43381</v>
      </c>
    </row>
    <row r="893" spans="1:18" x14ac:dyDescent="0.2">
      <c r="A893" s="49">
        <v>43381</v>
      </c>
      <c r="B893" t="s">
        <v>384</v>
      </c>
      <c r="C893" t="s">
        <v>116</v>
      </c>
      <c r="D893" t="s">
        <v>117</v>
      </c>
      <c r="F893" t="s">
        <v>872</v>
      </c>
      <c r="G893" t="s">
        <v>21</v>
      </c>
      <c r="H893" t="s">
        <v>320</v>
      </c>
      <c r="I893" s="49">
        <v>43412</v>
      </c>
      <c r="J893" s="47">
        <v>-13781558.67</v>
      </c>
      <c r="L893">
        <v>0</v>
      </c>
      <c r="M893">
        <v>0</v>
      </c>
      <c r="N893">
        <v>0</v>
      </c>
      <c r="O893" t="s">
        <v>119</v>
      </c>
      <c r="P893" t="s">
        <v>23</v>
      </c>
      <c r="Q893" s="49">
        <v>2</v>
      </c>
      <c r="R893" s="49" t="str">
        <f>DataTable[HLD_Portfolio]&amp;DataTable[HLD_Date]</f>
        <v>SCBPLUS43381</v>
      </c>
    </row>
    <row r="894" spans="1:18" x14ac:dyDescent="0.2">
      <c r="A894" s="49">
        <v>43381</v>
      </c>
      <c r="B894" t="s">
        <v>384</v>
      </c>
      <c r="C894" t="s">
        <v>116</v>
      </c>
      <c r="D894" t="s">
        <v>117</v>
      </c>
      <c r="F894" t="s">
        <v>873</v>
      </c>
      <c r="G894" t="s">
        <v>149</v>
      </c>
      <c r="H894" t="s">
        <v>27</v>
      </c>
      <c r="I894" s="49">
        <v>43384</v>
      </c>
      <c r="J894" s="47">
        <v>-20742705.170000002</v>
      </c>
      <c r="L894">
        <v>0</v>
      </c>
      <c r="M894">
        <v>0</v>
      </c>
      <c r="N894">
        <v>0</v>
      </c>
      <c r="O894" t="s">
        <v>119</v>
      </c>
      <c r="P894" t="s">
        <v>23</v>
      </c>
      <c r="Q894" s="49">
        <v>2</v>
      </c>
      <c r="R894" s="49" t="str">
        <f>DataTable[HLD_Portfolio]&amp;DataTable[HLD_Date]</f>
        <v>SCBPLUS43381</v>
      </c>
    </row>
    <row r="895" spans="1:18" x14ac:dyDescent="0.2">
      <c r="A895" s="49">
        <v>43381</v>
      </c>
      <c r="B895" t="s">
        <v>384</v>
      </c>
      <c r="C895" t="s">
        <v>116</v>
      </c>
      <c r="D895" t="s">
        <v>117</v>
      </c>
      <c r="F895" t="s">
        <v>874</v>
      </c>
      <c r="G895" t="s">
        <v>73</v>
      </c>
      <c r="H895" t="s">
        <v>27</v>
      </c>
      <c r="I895" s="49">
        <v>43398</v>
      </c>
      <c r="J895" s="47">
        <v>-22237599.719999999</v>
      </c>
      <c r="L895">
        <v>0</v>
      </c>
      <c r="M895">
        <v>0</v>
      </c>
      <c r="N895">
        <v>0</v>
      </c>
      <c r="O895" t="s">
        <v>119</v>
      </c>
      <c r="P895" t="s">
        <v>23</v>
      </c>
      <c r="Q895" s="49">
        <v>2</v>
      </c>
      <c r="R895" s="49" t="str">
        <f>DataTable[HLD_Portfolio]&amp;DataTable[HLD_Date]</f>
        <v>SCBPLUS43381</v>
      </c>
    </row>
    <row r="896" spans="1:18" x14ac:dyDescent="0.2">
      <c r="A896" s="49">
        <v>43381</v>
      </c>
      <c r="B896" t="s">
        <v>384</v>
      </c>
      <c r="C896" t="s">
        <v>116</v>
      </c>
      <c r="D896" t="s">
        <v>117</v>
      </c>
      <c r="F896" t="s">
        <v>875</v>
      </c>
      <c r="G896" t="s">
        <v>784</v>
      </c>
      <c r="H896" t="s">
        <v>51</v>
      </c>
      <c r="I896" s="49">
        <v>43572</v>
      </c>
      <c r="J896" s="47">
        <v>-39186825.509999998</v>
      </c>
      <c r="L896">
        <v>0</v>
      </c>
      <c r="M896">
        <v>0</v>
      </c>
      <c r="N896">
        <v>0</v>
      </c>
      <c r="O896" t="s">
        <v>119</v>
      </c>
      <c r="P896" t="s">
        <v>23</v>
      </c>
      <c r="Q896" s="49">
        <v>2</v>
      </c>
      <c r="R896" s="49" t="str">
        <f>DataTable[HLD_Portfolio]&amp;DataTable[HLD_Date]</f>
        <v>SCBPLUS43381</v>
      </c>
    </row>
    <row r="897" spans="1:18" x14ac:dyDescent="0.2">
      <c r="A897" s="49">
        <v>43381</v>
      </c>
      <c r="B897" t="s">
        <v>384</v>
      </c>
      <c r="C897" t="s">
        <v>116</v>
      </c>
      <c r="D897" t="s">
        <v>117</v>
      </c>
      <c r="F897" t="s">
        <v>876</v>
      </c>
      <c r="G897" t="s">
        <v>784</v>
      </c>
      <c r="H897" t="s">
        <v>51</v>
      </c>
      <c r="I897" s="49">
        <v>43614</v>
      </c>
      <c r="J897" s="47">
        <v>-21379437.620000001</v>
      </c>
      <c r="L897">
        <v>0</v>
      </c>
      <c r="M897">
        <v>0</v>
      </c>
      <c r="N897">
        <v>0</v>
      </c>
      <c r="O897" t="s">
        <v>119</v>
      </c>
      <c r="P897" t="s">
        <v>23</v>
      </c>
      <c r="Q897" s="49">
        <v>2</v>
      </c>
      <c r="R897" s="49" t="str">
        <f>DataTable[HLD_Portfolio]&amp;DataTable[HLD_Date]</f>
        <v>SCBPLUS43381</v>
      </c>
    </row>
    <row r="898" spans="1:18" x14ac:dyDescent="0.2">
      <c r="A898" s="49">
        <v>43381</v>
      </c>
      <c r="B898" t="s">
        <v>384</v>
      </c>
      <c r="C898" t="s">
        <v>116</v>
      </c>
      <c r="D898" t="s">
        <v>117</v>
      </c>
      <c r="F898" t="s">
        <v>877</v>
      </c>
      <c r="G898" t="s">
        <v>26</v>
      </c>
      <c r="H898" t="s">
        <v>27</v>
      </c>
      <c r="I898" s="49">
        <v>43628</v>
      </c>
      <c r="J898" s="47">
        <v>-14452837.07</v>
      </c>
      <c r="L898">
        <v>0</v>
      </c>
      <c r="M898">
        <v>0</v>
      </c>
      <c r="N898">
        <v>0</v>
      </c>
      <c r="O898" t="s">
        <v>119</v>
      </c>
      <c r="P898" t="s">
        <v>23</v>
      </c>
      <c r="Q898" s="49">
        <v>2</v>
      </c>
      <c r="R898" s="49" t="str">
        <f>DataTable[HLD_Portfolio]&amp;DataTable[HLD_Date]</f>
        <v>SCBPLUS43381</v>
      </c>
    </row>
    <row r="899" spans="1:18" x14ac:dyDescent="0.2">
      <c r="A899" s="49">
        <v>43381</v>
      </c>
      <c r="B899" t="s">
        <v>384</v>
      </c>
      <c r="C899" t="s">
        <v>116</v>
      </c>
      <c r="D899" t="s">
        <v>117</v>
      </c>
      <c r="F899" t="s">
        <v>878</v>
      </c>
      <c r="G899" t="s">
        <v>879</v>
      </c>
      <c r="H899" t="s">
        <v>41</v>
      </c>
      <c r="I899" s="49">
        <v>43636</v>
      </c>
      <c r="J899" s="47">
        <v>-4088078.56</v>
      </c>
      <c r="L899">
        <v>0</v>
      </c>
      <c r="M899">
        <v>0</v>
      </c>
      <c r="N899">
        <v>0</v>
      </c>
      <c r="O899" t="s">
        <v>119</v>
      </c>
      <c r="P899" t="s">
        <v>23</v>
      </c>
      <c r="Q899" s="49">
        <v>2</v>
      </c>
      <c r="R899" s="49" t="str">
        <f>DataTable[HLD_Portfolio]&amp;DataTable[HLD_Date]</f>
        <v>SCBPLUS43381</v>
      </c>
    </row>
    <row r="900" spans="1:18" x14ac:dyDescent="0.2">
      <c r="A900" s="49">
        <v>43381</v>
      </c>
      <c r="B900" t="s">
        <v>384</v>
      </c>
      <c r="C900" t="s">
        <v>116</v>
      </c>
      <c r="D900" t="s">
        <v>117</v>
      </c>
      <c r="F900" t="s">
        <v>880</v>
      </c>
      <c r="G900" t="s">
        <v>73</v>
      </c>
      <c r="H900" t="s">
        <v>27</v>
      </c>
      <c r="I900" s="49">
        <v>43648</v>
      </c>
      <c r="J900" s="47">
        <v>-8148223.9400000004</v>
      </c>
      <c r="L900">
        <v>0</v>
      </c>
      <c r="M900">
        <v>0</v>
      </c>
      <c r="N900">
        <v>0</v>
      </c>
      <c r="O900" t="s">
        <v>119</v>
      </c>
      <c r="P900" t="s">
        <v>23</v>
      </c>
      <c r="Q900" s="49">
        <v>2</v>
      </c>
      <c r="R900" s="49" t="str">
        <f>DataTable[HLD_Portfolio]&amp;DataTable[HLD_Date]</f>
        <v>SCBPLUS43381</v>
      </c>
    </row>
    <row r="901" spans="1:18" x14ac:dyDescent="0.2">
      <c r="A901" s="49">
        <v>43381</v>
      </c>
      <c r="B901" t="s">
        <v>384</v>
      </c>
      <c r="C901" t="s">
        <v>116</v>
      </c>
      <c r="D901" t="s">
        <v>687</v>
      </c>
      <c r="F901" t="s">
        <v>881</v>
      </c>
      <c r="G901" t="s">
        <v>26</v>
      </c>
      <c r="H901" t="s">
        <v>27</v>
      </c>
      <c r="I901" s="49">
        <v>44470</v>
      </c>
      <c r="J901" s="47">
        <v>9948533.4399999995</v>
      </c>
      <c r="L901">
        <v>0</v>
      </c>
      <c r="M901">
        <v>0</v>
      </c>
      <c r="N901">
        <v>0</v>
      </c>
      <c r="O901" t="s">
        <v>689</v>
      </c>
      <c r="P901" t="s">
        <v>23</v>
      </c>
      <c r="Q901" s="49">
        <v>2</v>
      </c>
      <c r="R901" s="49" t="str">
        <f>DataTable[HLD_Portfolio]&amp;DataTable[HLD_Date]</f>
        <v>SCBPLUS43381</v>
      </c>
    </row>
    <row r="902" spans="1:18" x14ac:dyDescent="0.2">
      <c r="A902" s="49">
        <v>43381</v>
      </c>
      <c r="B902" t="s">
        <v>384</v>
      </c>
      <c r="C902" t="s">
        <v>116</v>
      </c>
      <c r="D902" t="s">
        <v>687</v>
      </c>
      <c r="F902" t="s">
        <v>882</v>
      </c>
      <c r="G902" t="s">
        <v>26</v>
      </c>
      <c r="H902" t="s">
        <v>27</v>
      </c>
      <c r="I902" s="49">
        <v>44949</v>
      </c>
      <c r="J902" s="47">
        <v>5114240.26</v>
      </c>
      <c r="L902">
        <v>0</v>
      </c>
      <c r="M902">
        <v>0</v>
      </c>
      <c r="N902">
        <v>0</v>
      </c>
      <c r="O902" t="s">
        <v>689</v>
      </c>
      <c r="P902" t="s">
        <v>23</v>
      </c>
      <c r="Q902" s="49">
        <v>2</v>
      </c>
      <c r="R902" s="49" t="str">
        <f>DataTable[HLD_Portfolio]&amp;DataTable[HLD_Date]</f>
        <v>SCBPLUS43381</v>
      </c>
    </row>
    <row r="903" spans="1:18" x14ac:dyDescent="0.2">
      <c r="A903" s="49">
        <v>43381</v>
      </c>
      <c r="B903" t="s">
        <v>384</v>
      </c>
      <c r="C903" t="s">
        <v>132</v>
      </c>
      <c r="D903" t="s">
        <v>133</v>
      </c>
      <c r="E903" t="s">
        <v>389</v>
      </c>
      <c r="F903" t="s">
        <v>388</v>
      </c>
      <c r="I903" s="49"/>
      <c r="J903" s="47">
        <v>-119944053.59999999</v>
      </c>
      <c r="L903">
        <v>-119944053.59999999</v>
      </c>
      <c r="N903">
        <v>0</v>
      </c>
      <c r="O903" t="s">
        <v>42</v>
      </c>
      <c r="P903" t="s">
        <v>23</v>
      </c>
      <c r="Q903" s="49">
        <v>43382</v>
      </c>
      <c r="R903" s="49" t="str">
        <f>DataTable[HLD_Portfolio]&amp;DataTable[HLD_Date]</f>
        <v>SCBPLUS43381</v>
      </c>
    </row>
    <row r="904" spans="1:18" x14ac:dyDescent="0.2">
      <c r="A904" s="49">
        <v>43381</v>
      </c>
      <c r="B904" t="s">
        <v>384</v>
      </c>
      <c r="C904" t="s">
        <v>132</v>
      </c>
      <c r="D904" t="s">
        <v>133</v>
      </c>
      <c r="E904" t="s">
        <v>643</v>
      </c>
      <c r="F904" t="s">
        <v>830</v>
      </c>
      <c r="I904" s="49"/>
      <c r="J904" s="47">
        <v>-1127102.2</v>
      </c>
      <c r="L904">
        <v>-1127102.2</v>
      </c>
      <c r="N904">
        <v>0</v>
      </c>
      <c r="O904" t="s">
        <v>807</v>
      </c>
      <c r="P904" t="s">
        <v>23</v>
      </c>
      <c r="Q904" s="49">
        <v>2</v>
      </c>
      <c r="R904" s="49" t="str">
        <f>DataTable[HLD_Portfolio]&amp;DataTable[HLD_Date]</f>
        <v>SCBPLUS43381</v>
      </c>
    </row>
    <row r="905" spans="1:18" x14ac:dyDescent="0.2">
      <c r="A905" s="49">
        <v>43381</v>
      </c>
      <c r="B905" t="s">
        <v>384</v>
      </c>
      <c r="C905" t="s">
        <v>132</v>
      </c>
      <c r="D905" t="s">
        <v>134</v>
      </c>
      <c r="E905" t="s">
        <v>134</v>
      </c>
      <c r="F905" t="s">
        <v>134</v>
      </c>
      <c r="I905" s="49"/>
      <c r="J905" s="47">
        <v>-72986.94</v>
      </c>
      <c r="N905">
        <v>0</v>
      </c>
      <c r="Q905" s="49"/>
      <c r="R905" s="49" t="str">
        <f>DataTable[HLD_Portfolio]&amp;DataTable[HLD_Date]</f>
        <v>SCBPLUS43381</v>
      </c>
    </row>
    <row r="906" spans="1:18" x14ac:dyDescent="0.2">
      <c r="A906" s="49">
        <v>43381</v>
      </c>
      <c r="B906" t="s">
        <v>384</v>
      </c>
      <c r="C906" t="s">
        <v>132</v>
      </c>
      <c r="D906" t="s">
        <v>135</v>
      </c>
      <c r="I906" s="49"/>
      <c r="J906" s="47">
        <v>-305651.34999999998</v>
      </c>
      <c r="K906">
        <v>0</v>
      </c>
      <c r="N906">
        <v>0</v>
      </c>
      <c r="Q906" s="49"/>
      <c r="R906" s="49" t="str">
        <f>DataTable[HLD_Portfolio]&amp;DataTable[HLD_Date]</f>
        <v>SCBPLUS43381</v>
      </c>
    </row>
    <row r="907" spans="1:18" x14ac:dyDescent="0.2">
      <c r="A907" s="49">
        <v>43381</v>
      </c>
      <c r="B907" t="s">
        <v>384</v>
      </c>
      <c r="C907" t="s">
        <v>132</v>
      </c>
      <c r="D907" t="s">
        <v>137</v>
      </c>
      <c r="E907" t="s">
        <v>137</v>
      </c>
      <c r="I907" s="49"/>
      <c r="J907" s="47">
        <v>-90914.79</v>
      </c>
      <c r="L907">
        <v>-90914.79</v>
      </c>
      <c r="N907">
        <v>0</v>
      </c>
      <c r="Q907" s="49"/>
      <c r="R907" s="49" t="str">
        <f>DataTable[HLD_Portfolio]&amp;DataTable[HLD_Date]</f>
        <v>SCBPLUS43381</v>
      </c>
    </row>
    <row r="908" spans="1:18" x14ac:dyDescent="0.2">
      <c r="A908" s="49">
        <v>43381</v>
      </c>
      <c r="B908" t="s">
        <v>384</v>
      </c>
      <c r="C908" t="s">
        <v>132</v>
      </c>
      <c r="D908" t="s">
        <v>138</v>
      </c>
      <c r="E908" t="s">
        <v>138</v>
      </c>
      <c r="I908" s="49"/>
      <c r="J908" s="47">
        <v>-1668440.2</v>
      </c>
      <c r="L908">
        <v>-1668440.2</v>
      </c>
      <c r="N908">
        <v>0</v>
      </c>
      <c r="Q908" s="49"/>
      <c r="R908" s="49" t="str">
        <f>DataTable[HLD_Portfolio]&amp;DataTable[HLD_Date]</f>
        <v>SCBPLUS43381</v>
      </c>
    </row>
    <row r="909" spans="1:18" x14ac:dyDescent="0.2">
      <c r="A909" s="49">
        <v>43381</v>
      </c>
      <c r="B909" t="s">
        <v>384</v>
      </c>
      <c r="C909" t="s">
        <v>140</v>
      </c>
      <c r="D909" t="s">
        <v>137</v>
      </c>
      <c r="E909" t="s">
        <v>137</v>
      </c>
      <c r="I909" s="49"/>
      <c r="J909" s="47">
        <v>-54838.95</v>
      </c>
      <c r="L909">
        <v>-54838.95</v>
      </c>
      <c r="N909">
        <v>0</v>
      </c>
      <c r="Q909" s="49"/>
      <c r="R909" s="49" t="str">
        <f>DataTable[HLD_Portfolio]&amp;DataTable[HLD_Date]</f>
        <v>SCBPLUS43381</v>
      </c>
    </row>
    <row r="910" spans="1:18" x14ac:dyDescent="0.2">
      <c r="A910" s="49">
        <v>43381</v>
      </c>
      <c r="B910" t="s">
        <v>384</v>
      </c>
      <c r="C910" t="s">
        <v>140</v>
      </c>
      <c r="D910" t="s">
        <v>138</v>
      </c>
      <c r="E910" t="s">
        <v>138</v>
      </c>
      <c r="I910" s="49"/>
      <c r="J910" s="47">
        <v>-1006770.08</v>
      </c>
      <c r="L910">
        <v>-1006770.08</v>
      </c>
      <c r="N910">
        <v>0</v>
      </c>
      <c r="Q910" s="49"/>
      <c r="R910" s="49" t="str">
        <f>DataTable[HLD_Portfolio]&amp;DataTable[HLD_Date]</f>
        <v>SCBPLUS43381</v>
      </c>
    </row>
    <row r="911" spans="1:18" x14ac:dyDescent="0.2">
      <c r="A911" s="49">
        <v>43381</v>
      </c>
      <c r="B911" t="s">
        <v>382</v>
      </c>
      <c r="C911" t="s">
        <v>18</v>
      </c>
      <c r="D911" t="s">
        <v>19</v>
      </c>
      <c r="F911" t="s">
        <v>20</v>
      </c>
      <c r="G911" t="s">
        <v>149</v>
      </c>
      <c r="I911" s="49"/>
      <c r="J911" s="47">
        <v>2282205.56</v>
      </c>
      <c r="K911">
        <v>4173.83</v>
      </c>
      <c r="L911">
        <v>2282205.56</v>
      </c>
      <c r="M911">
        <v>0</v>
      </c>
      <c r="N911">
        <v>0</v>
      </c>
      <c r="O911" t="s">
        <v>22</v>
      </c>
      <c r="P911" t="s">
        <v>23</v>
      </c>
      <c r="Q911" s="49">
        <v>2</v>
      </c>
      <c r="R911" s="49" t="str">
        <f>DataTable[HLD_Portfolio]&amp;DataTable[HLD_Date]</f>
        <v>SCBFIXED43381</v>
      </c>
    </row>
    <row r="912" spans="1:18" x14ac:dyDescent="0.2">
      <c r="A912" s="49">
        <v>43381</v>
      </c>
      <c r="B912" t="s">
        <v>382</v>
      </c>
      <c r="C912" t="s">
        <v>18</v>
      </c>
      <c r="D912" t="s">
        <v>19</v>
      </c>
      <c r="F912" t="s">
        <v>30</v>
      </c>
      <c r="G912" t="s">
        <v>26</v>
      </c>
      <c r="H912" t="s">
        <v>27</v>
      </c>
      <c r="I912" s="49"/>
      <c r="J912" s="47">
        <v>0</v>
      </c>
      <c r="L912">
        <v>0</v>
      </c>
      <c r="M912">
        <v>0</v>
      </c>
      <c r="N912">
        <v>0</v>
      </c>
      <c r="O912" t="s">
        <v>22</v>
      </c>
      <c r="P912" t="s">
        <v>31</v>
      </c>
      <c r="Q912" s="49">
        <v>2</v>
      </c>
      <c r="R912" s="49" t="str">
        <f>DataTable[HLD_Portfolio]&amp;DataTable[HLD_Date]</f>
        <v>SCBFIXED43381</v>
      </c>
    </row>
    <row r="913" spans="1:18" x14ac:dyDescent="0.2">
      <c r="A913" s="49">
        <v>43381</v>
      </c>
      <c r="B913" t="s">
        <v>382</v>
      </c>
      <c r="C913" t="s">
        <v>18</v>
      </c>
      <c r="D913" t="s">
        <v>38</v>
      </c>
      <c r="F913" t="s">
        <v>69</v>
      </c>
      <c r="G913" t="s">
        <v>54</v>
      </c>
      <c r="H913" t="s">
        <v>47</v>
      </c>
      <c r="I913" s="49">
        <v>43543</v>
      </c>
      <c r="J913" s="47">
        <v>75722200</v>
      </c>
      <c r="K913">
        <v>1998.22</v>
      </c>
      <c r="L913">
        <v>76000000</v>
      </c>
      <c r="M913">
        <v>0.44989899999999999</v>
      </c>
      <c r="N913">
        <v>0.05</v>
      </c>
      <c r="O913" t="s">
        <v>42</v>
      </c>
      <c r="P913" t="s">
        <v>31</v>
      </c>
      <c r="Q913" s="49">
        <v>43363</v>
      </c>
      <c r="R913" s="49" t="str">
        <f>DataTable[HLD_Portfolio]&amp;DataTable[HLD_Date]</f>
        <v>SCBFIXED43381</v>
      </c>
    </row>
    <row r="914" spans="1:18" x14ac:dyDescent="0.2">
      <c r="A914" s="49">
        <v>43381</v>
      </c>
      <c r="B914" t="s">
        <v>382</v>
      </c>
      <c r="C914" t="s">
        <v>18</v>
      </c>
      <c r="D914" t="s">
        <v>38</v>
      </c>
      <c r="F914" t="s">
        <v>885</v>
      </c>
      <c r="G914" t="s">
        <v>75</v>
      </c>
      <c r="H914" t="s">
        <v>59</v>
      </c>
      <c r="I914" s="49">
        <v>44196</v>
      </c>
      <c r="J914" s="47">
        <v>1007009.58</v>
      </c>
      <c r="K914">
        <v>20649.2</v>
      </c>
      <c r="L914">
        <v>1007009.58</v>
      </c>
      <c r="M914">
        <v>0</v>
      </c>
      <c r="N914">
        <v>0</v>
      </c>
      <c r="O914" t="s">
        <v>42</v>
      </c>
      <c r="P914" t="s">
        <v>23</v>
      </c>
      <c r="Q914" s="49">
        <v>43258</v>
      </c>
      <c r="R914" s="49" t="str">
        <f>DataTable[HLD_Portfolio]&amp;DataTable[HLD_Date]</f>
        <v>SCBFIXED43381</v>
      </c>
    </row>
    <row r="915" spans="1:18" x14ac:dyDescent="0.2">
      <c r="A915" s="49">
        <v>43381</v>
      </c>
      <c r="B915" t="s">
        <v>382</v>
      </c>
      <c r="C915" t="s">
        <v>18</v>
      </c>
      <c r="D915" t="s">
        <v>77</v>
      </c>
      <c r="F915" t="s">
        <v>886</v>
      </c>
      <c r="G915" t="s">
        <v>712</v>
      </c>
      <c r="H915" t="s">
        <v>126</v>
      </c>
      <c r="I915" s="49">
        <v>43510</v>
      </c>
      <c r="J915" s="47">
        <v>49684197.5</v>
      </c>
      <c r="L915">
        <v>49679438.5</v>
      </c>
      <c r="M915">
        <v>0.34847</v>
      </c>
      <c r="N915">
        <v>1.84</v>
      </c>
      <c r="O915" t="s">
        <v>42</v>
      </c>
      <c r="P915" t="s">
        <v>23</v>
      </c>
      <c r="Q915" s="49">
        <v>43326</v>
      </c>
      <c r="R915" s="49" t="str">
        <f>DataTable[HLD_Portfolio]&amp;DataTable[HLD_Date]</f>
        <v>SCBFIXED43381</v>
      </c>
    </row>
    <row r="916" spans="1:18" x14ac:dyDescent="0.2">
      <c r="A916" s="49">
        <v>43381</v>
      </c>
      <c r="B916" t="s">
        <v>382</v>
      </c>
      <c r="C916" t="s">
        <v>18</v>
      </c>
      <c r="D916" t="s">
        <v>89</v>
      </c>
      <c r="F916" t="s">
        <v>650</v>
      </c>
      <c r="G916" t="s">
        <v>91</v>
      </c>
      <c r="I916" s="49">
        <v>43461</v>
      </c>
      <c r="J916" s="47">
        <v>79761764</v>
      </c>
      <c r="L916">
        <v>79745219.200000003</v>
      </c>
      <c r="M916">
        <v>0.21571599999999999</v>
      </c>
      <c r="N916">
        <v>1.476143</v>
      </c>
      <c r="O916" t="s">
        <v>42</v>
      </c>
      <c r="P916" t="s">
        <v>23</v>
      </c>
      <c r="Q916" s="49">
        <v>43279</v>
      </c>
      <c r="R916" s="49" t="str">
        <f>DataTable[HLD_Portfolio]&amp;DataTable[HLD_Date]</f>
        <v>SCBFIXED43381</v>
      </c>
    </row>
    <row r="917" spans="1:18" x14ac:dyDescent="0.2">
      <c r="A917" s="49">
        <v>43381</v>
      </c>
      <c r="B917" t="s">
        <v>382</v>
      </c>
      <c r="C917" t="s">
        <v>18</v>
      </c>
      <c r="D917" t="s">
        <v>89</v>
      </c>
      <c r="F917" t="s">
        <v>840</v>
      </c>
      <c r="G917" t="s">
        <v>91</v>
      </c>
      <c r="I917" s="49">
        <v>43517</v>
      </c>
      <c r="J917" s="47">
        <v>99420840</v>
      </c>
      <c r="L917">
        <v>99448266</v>
      </c>
      <c r="M917">
        <v>0.36772100000000002</v>
      </c>
      <c r="N917">
        <v>1.5</v>
      </c>
      <c r="O917" t="s">
        <v>42</v>
      </c>
      <c r="P917" t="s">
        <v>23</v>
      </c>
      <c r="Q917" s="49">
        <v>43335</v>
      </c>
      <c r="R917" s="49" t="str">
        <f>DataTable[HLD_Portfolio]&amp;DataTable[HLD_Date]</f>
        <v>SCBFIXED43381</v>
      </c>
    </row>
    <row r="918" spans="1:18" x14ac:dyDescent="0.2">
      <c r="A918" s="49">
        <v>43381</v>
      </c>
      <c r="B918" t="s">
        <v>382</v>
      </c>
      <c r="C918" t="s">
        <v>18</v>
      </c>
      <c r="D918" t="s">
        <v>89</v>
      </c>
      <c r="F918" t="s">
        <v>654</v>
      </c>
      <c r="G918" t="s">
        <v>91</v>
      </c>
      <c r="I918" s="49">
        <v>43524</v>
      </c>
      <c r="J918" s="47">
        <v>59643820.200000003</v>
      </c>
      <c r="L918">
        <v>59654202</v>
      </c>
      <c r="M918">
        <v>0.38673200000000002</v>
      </c>
      <c r="N918">
        <v>1.49</v>
      </c>
      <c r="O918" t="s">
        <v>42</v>
      </c>
      <c r="P918" t="s">
        <v>23</v>
      </c>
      <c r="Q918" s="49">
        <v>43342</v>
      </c>
      <c r="R918" s="49" t="str">
        <f>DataTable[HLD_Portfolio]&amp;DataTable[HLD_Date]</f>
        <v>SCBFIXED43381</v>
      </c>
    </row>
    <row r="919" spans="1:18" x14ac:dyDescent="0.2">
      <c r="A919" s="49">
        <v>43381</v>
      </c>
      <c r="B919" t="s">
        <v>382</v>
      </c>
      <c r="C919" t="s">
        <v>18</v>
      </c>
      <c r="D919" t="s">
        <v>89</v>
      </c>
      <c r="F919" t="s">
        <v>108</v>
      </c>
      <c r="G919" t="s">
        <v>91</v>
      </c>
      <c r="I919" s="49">
        <v>43391</v>
      </c>
      <c r="J919" s="47">
        <v>64978530.5</v>
      </c>
      <c r="L919">
        <v>64977998.149999999</v>
      </c>
      <c r="M919">
        <v>2.4650999999999999E-2</v>
      </c>
      <c r="N919">
        <v>1.37321</v>
      </c>
      <c r="O919" t="s">
        <v>42</v>
      </c>
      <c r="P919" t="s">
        <v>23</v>
      </c>
      <c r="Q919" s="49">
        <v>43300</v>
      </c>
      <c r="R919" s="49" t="str">
        <f>DataTable[HLD_Portfolio]&amp;DataTable[HLD_Date]</f>
        <v>SCBFIXED43381</v>
      </c>
    </row>
    <row r="920" spans="1:18" x14ac:dyDescent="0.2">
      <c r="A920" s="49">
        <v>43381</v>
      </c>
      <c r="B920" t="s">
        <v>382</v>
      </c>
      <c r="C920" t="s">
        <v>18</v>
      </c>
      <c r="D920" t="s">
        <v>89</v>
      </c>
      <c r="F920" t="s">
        <v>109</v>
      </c>
      <c r="G920" t="s">
        <v>91</v>
      </c>
      <c r="I920" s="49">
        <v>43398</v>
      </c>
      <c r="J920" s="47">
        <v>94949637.650000006</v>
      </c>
      <c r="L920">
        <v>94949637.650000006</v>
      </c>
      <c r="M920">
        <v>4.3813999999999999E-2</v>
      </c>
      <c r="N920">
        <v>1.21</v>
      </c>
      <c r="O920" t="s">
        <v>42</v>
      </c>
      <c r="P920" t="s">
        <v>23</v>
      </c>
      <c r="Q920" s="49">
        <v>43216</v>
      </c>
      <c r="R920" s="49" t="str">
        <f>DataTable[HLD_Portfolio]&amp;DataTable[HLD_Date]</f>
        <v>SCBFIXED43381</v>
      </c>
    </row>
    <row r="921" spans="1:18" x14ac:dyDescent="0.2">
      <c r="A921" s="49">
        <v>43381</v>
      </c>
      <c r="B921" t="s">
        <v>382</v>
      </c>
      <c r="C921" t="s">
        <v>18</v>
      </c>
      <c r="D921" t="s">
        <v>89</v>
      </c>
      <c r="F921" t="s">
        <v>110</v>
      </c>
      <c r="G921" t="s">
        <v>91</v>
      </c>
      <c r="I921" s="49">
        <v>43398</v>
      </c>
      <c r="J921" s="47">
        <v>9994917.6999999993</v>
      </c>
      <c r="L921">
        <v>9994917.6999999993</v>
      </c>
      <c r="M921">
        <v>4.3812999999999998E-2</v>
      </c>
      <c r="N921">
        <v>1.1599999999999999</v>
      </c>
      <c r="O921" t="s">
        <v>42</v>
      </c>
      <c r="P921" t="s">
        <v>23</v>
      </c>
      <c r="Q921" s="49">
        <v>43307</v>
      </c>
      <c r="R921" s="49" t="str">
        <f>DataTable[HLD_Portfolio]&amp;DataTable[HLD_Date]</f>
        <v>SCBFIXED43381</v>
      </c>
    </row>
    <row r="922" spans="1:18" x14ac:dyDescent="0.2">
      <c r="A922" s="49">
        <v>43381</v>
      </c>
      <c r="B922" t="s">
        <v>382</v>
      </c>
      <c r="C922" t="s">
        <v>18</v>
      </c>
      <c r="D922" t="s">
        <v>89</v>
      </c>
      <c r="F922" t="s">
        <v>651</v>
      </c>
      <c r="G922" t="s">
        <v>91</v>
      </c>
      <c r="I922" s="49">
        <v>43475</v>
      </c>
      <c r="J922" s="47">
        <v>89661888.900000006</v>
      </c>
      <c r="L922">
        <v>89655516.900000006</v>
      </c>
      <c r="M922">
        <v>0.25383699999999998</v>
      </c>
      <c r="N922">
        <v>1.508</v>
      </c>
      <c r="O922" t="s">
        <v>42</v>
      </c>
      <c r="P922" t="s">
        <v>23</v>
      </c>
      <c r="Q922" s="49">
        <v>43293</v>
      </c>
      <c r="R922" s="49" t="str">
        <f>DataTable[HLD_Portfolio]&amp;DataTable[HLD_Date]</f>
        <v>SCBFIXED43381</v>
      </c>
    </row>
    <row r="923" spans="1:18" x14ac:dyDescent="0.2">
      <c r="A923" s="49">
        <v>43381</v>
      </c>
      <c r="B923" t="s">
        <v>382</v>
      </c>
      <c r="C923" t="s">
        <v>18</v>
      </c>
      <c r="D923" t="s">
        <v>89</v>
      </c>
      <c r="F923" t="s">
        <v>887</v>
      </c>
      <c r="G923" t="s">
        <v>91</v>
      </c>
      <c r="I923" s="49">
        <v>43482</v>
      </c>
      <c r="J923" s="47">
        <v>49794003</v>
      </c>
      <c r="L923">
        <v>49794139</v>
      </c>
      <c r="M923">
        <v>0.27284399999999998</v>
      </c>
      <c r="N923">
        <v>1.5089999999999999</v>
      </c>
      <c r="O923" t="s">
        <v>42</v>
      </c>
      <c r="P923" t="s">
        <v>23</v>
      </c>
      <c r="Q923" s="49">
        <v>43300</v>
      </c>
      <c r="R923" s="49" t="str">
        <f>DataTable[HLD_Portfolio]&amp;DataTable[HLD_Date]</f>
        <v>SCBFIXED43381</v>
      </c>
    </row>
    <row r="924" spans="1:18" x14ac:dyDescent="0.2">
      <c r="A924" s="49">
        <v>43381</v>
      </c>
      <c r="B924" t="s">
        <v>382</v>
      </c>
      <c r="C924" t="s">
        <v>18</v>
      </c>
      <c r="D924" t="s">
        <v>89</v>
      </c>
      <c r="F924" t="s">
        <v>652</v>
      </c>
      <c r="G924" t="s">
        <v>91</v>
      </c>
      <c r="I924" s="49">
        <v>43496</v>
      </c>
      <c r="J924" s="47">
        <v>99516676</v>
      </c>
      <c r="L924">
        <v>99533691</v>
      </c>
      <c r="M924">
        <v>0.31081900000000001</v>
      </c>
      <c r="N924">
        <v>1.5</v>
      </c>
      <c r="O924" t="s">
        <v>42</v>
      </c>
      <c r="P924" t="s">
        <v>23</v>
      </c>
      <c r="Q924" s="49">
        <v>43314</v>
      </c>
      <c r="R924" s="49" t="str">
        <f>DataTable[HLD_Portfolio]&amp;DataTable[HLD_Date]</f>
        <v>SCBFIXED43381</v>
      </c>
    </row>
    <row r="925" spans="1:18" x14ac:dyDescent="0.2">
      <c r="A925" s="49">
        <v>43381</v>
      </c>
      <c r="B925" t="s">
        <v>382</v>
      </c>
      <c r="C925" t="s">
        <v>18</v>
      </c>
      <c r="D925" t="s">
        <v>112</v>
      </c>
      <c r="F925" t="s">
        <v>259</v>
      </c>
      <c r="G925" t="s">
        <v>260</v>
      </c>
      <c r="H925" t="s">
        <v>47</v>
      </c>
      <c r="I925" s="49">
        <v>43783</v>
      </c>
      <c r="J925" s="47">
        <v>7113761.8300000001</v>
      </c>
      <c r="K925">
        <v>99910.16</v>
      </c>
      <c r="L925">
        <v>7133141.6100000003</v>
      </c>
      <c r="M925">
        <v>1.0625089999999999</v>
      </c>
      <c r="N925">
        <v>1.75</v>
      </c>
      <c r="O925" t="s">
        <v>42</v>
      </c>
      <c r="P925" t="s">
        <v>23</v>
      </c>
      <c r="Q925" s="49">
        <v>41957</v>
      </c>
      <c r="R925" s="49" t="str">
        <f>DataTable[HLD_Portfolio]&amp;DataTable[HLD_Date]</f>
        <v>SCBFIXED43381</v>
      </c>
    </row>
    <row r="926" spans="1:18" x14ac:dyDescent="0.2">
      <c r="A926" s="49">
        <v>43381</v>
      </c>
      <c r="B926" t="s">
        <v>382</v>
      </c>
      <c r="C926" t="s">
        <v>18</v>
      </c>
      <c r="D926" t="s">
        <v>112</v>
      </c>
      <c r="F926" t="s">
        <v>563</v>
      </c>
      <c r="G926" t="s">
        <v>564</v>
      </c>
      <c r="H926" t="s">
        <v>126</v>
      </c>
      <c r="I926" s="49">
        <v>43997</v>
      </c>
      <c r="J926" s="47">
        <v>49778541</v>
      </c>
      <c r="K926">
        <v>354356</v>
      </c>
      <c r="L926">
        <v>50000000</v>
      </c>
      <c r="M926">
        <v>1.6302669999999999</v>
      </c>
      <c r="N926">
        <v>2.23</v>
      </c>
      <c r="O926" t="s">
        <v>42</v>
      </c>
      <c r="P926" t="s">
        <v>23</v>
      </c>
      <c r="Q926" s="49">
        <v>43266</v>
      </c>
      <c r="R926" s="49" t="str">
        <f>DataTable[HLD_Portfolio]&amp;DataTable[HLD_Date]</f>
        <v>SCBFIXED43381</v>
      </c>
    </row>
    <row r="927" spans="1:18" x14ac:dyDescent="0.2">
      <c r="A927" s="49">
        <v>43381</v>
      </c>
      <c r="B927" t="s">
        <v>382</v>
      </c>
      <c r="C927" t="s">
        <v>18</v>
      </c>
      <c r="D927" t="s">
        <v>112</v>
      </c>
      <c r="F927" t="s">
        <v>609</v>
      </c>
      <c r="G927" t="s">
        <v>114</v>
      </c>
      <c r="H927" t="s">
        <v>51</v>
      </c>
      <c r="I927" s="49">
        <v>43551</v>
      </c>
      <c r="J927" s="47">
        <v>45496379.25</v>
      </c>
      <c r="K927">
        <v>63616.5</v>
      </c>
      <c r="L927">
        <v>45544999.950000003</v>
      </c>
      <c r="M927">
        <v>0.45858300000000002</v>
      </c>
      <c r="N927">
        <v>1.7</v>
      </c>
      <c r="O927" t="s">
        <v>42</v>
      </c>
      <c r="P927" t="s">
        <v>23</v>
      </c>
      <c r="Q927" s="49">
        <v>41725</v>
      </c>
      <c r="R927" s="49" t="str">
        <f>DataTable[HLD_Portfolio]&amp;DataTable[HLD_Date]</f>
        <v>SCBFIXED43381</v>
      </c>
    </row>
    <row r="928" spans="1:18" x14ac:dyDescent="0.2">
      <c r="A928" s="49">
        <v>43381</v>
      </c>
      <c r="B928" t="s">
        <v>382</v>
      </c>
      <c r="C928" t="s">
        <v>18</v>
      </c>
      <c r="D928" t="s">
        <v>112</v>
      </c>
      <c r="F928" t="s">
        <v>888</v>
      </c>
      <c r="G928" t="s">
        <v>114</v>
      </c>
      <c r="H928" t="s">
        <v>51</v>
      </c>
      <c r="I928" s="49">
        <v>43703</v>
      </c>
      <c r="J928" s="47">
        <v>20047399.600000001</v>
      </c>
      <c r="K928">
        <v>60032.800000000003</v>
      </c>
      <c r="L928">
        <v>20111167.600000001</v>
      </c>
      <c r="M928">
        <v>0.86785599999999996</v>
      </c>
      <c r="N928">
        <v>1.84</v>
      </c>
      <c r="O928" t="s">
        <v>42</v>
      </c>
      <c r="P928" t="s">
        <v>23</v>
      </c>
      <c r="Q928" s="49">
        <v>42608</v>
      </c>
      <c r="R928" s="49" t="str">
        <f>DataTable[HLD_Portfolio]&amp;DataTable[HLD_Date]</f>
        <v>SCBFIXED43381</v>
      </c>
    </row>
    <row r="929" spans="1:18" x14ac:dyDescent="0.2">
      <c r="A929" s="49">
        <v>43381</v>
      </c>
      <c r="B929" t="s">
        <v>382</v>
      </c>
      <c r="C929" t="s">
        <v>18</v>
      </c>
      <c r="D929" t="s">
        <v>112</v>
      </c>
      <c r="F929" t="s">
        <v>617</v>
      </c>
      <c r="G929" t="s">
        <v>616</v>
      </c>
      <c r="H929" t="s">
        <v>320</v>
      </c>
      <c r="I929" s="49">
        <v>43904</v>
      </c>
      <c r="J929" s="47">
        <v>19873165.800000001</v>
      </c>
      <c r="K929">
        <v>22739.8</v>
      </c>
      <c r="L929">
        <v>19942382.199999999</v>
      </c>
      <c r="M929">
        <v>1.40021</v>
      </c>
      <c r="N929">
        <v>1.87</v>
      </c>
      <c r="O929" t="s">
        <v>42</v>
      </c>
      <c r="P929" t="s">
        <v>23</v>
      </c>
      <c r="Q929" s="49">
        <v>43173</v>
      </c>
      <c r="R929" s="49" t="str">
        <f>DataTable[HLD_Portfolio]&amp;DataTable[HLD_Date]</f>
        <v>SCBFIXED43381</v>
      </c>
    </row>
    <row r="930" spans="1:18" x14ac:dyDescent="0.2">
      <c r="A930" s="49">
        <v>43381</v>
      </c>
      <c r="B930" t="s">
        <v>382</v>
      </c>
      <c r="C930" t="s">
        <v>18</v>
      </c>
      <c r="D930" t="s">
        <v>112</v>
      </c>
      <c r="F930" t="s">
        <v>889</v>
      </c>
      <c r="G930" t="s">
        <v>640</v>
      </c>
      <c r="I930" s="49">
        <v>43808</v>
      </c>
      <c r="J930" s="47">
        <v>50062446.5</v>
      </c>
      <c r="K930">
        <v>367671</v>
      </c>
      <c r="L930">
        <v>50193302</v>
      </c>
      <c r="M930">
        <v>1.138989</v>
      </c>
      <c r="N930">
        <v>1.86</v>
      </c>
      <c r="O930" t="s">
        <v>42</v>
      </c>
      <c r="P930" t="s">
        <v>23</v>
      </c>
      <c r="Q930" s="49">
        <v>42713</v>
      </c>
      <c r="R930" s="49" t="str">
        <f>DataTable[HLD_Portfolio]&amp;DataTable[HLD_Date]</f>
        <v>SCBFIXED43381</v>
      </c>
    </row>
    <row r="931" spans="1:18" x14ac:dyDescent="0.2">
      <c r="A931" s="49">
        <v>43381</v>
      </c>
      <c r="B931" t="s">
        <v>382</v>
      </c>
      <c r="C931" t="s">
        <v>18</v>
      </c>
      <c r="D931" t="s">
        <v>112</v>
      </c>
      <c r="F931" t="s">
        <v>890</v>
      </c>
      <c r="G931" t="s">
        <v>642</v>
      </c>
      <c r="I931" s="49">
        <v>43699</v>
      </c>
      <c r="J931" s="47">
        <v>5585313.3099999996</v>
      </c>
      <c r="K931">
        <v>27846.560000000001</v>
      </c>
      <c r="L931">
        <v>5599208.4000000004</v>
      </c>
      <c r="M931">
        <v>0.85458100000000004</v>
      </c>
      <c r="N931">
        <v>1.738</v>
      </c>
      <c r="O931" t="s">
        <v>42</v>
      </c>
      <c r="P931" t="s">
        <v>23</v>
      </c>
      <c r="Q931" s="49">
        <v>41873</v>
      </c>
      <c r="R931" s="49" t="str">
        <f>DataTable[HLD_Portfolio]&amp;DataTable[HLD_Date]</f>
        <v>SCBFIXED43381</v>
      </c>
    </row>
    <row r="932" spans="1:18" x14ac:dyDescent="0.2">
      <c r="A932" s="49">
        <v>43381</v>
      </c>
      <c r="B932" t="s">
        <v>382</v>
      </c>
      <c r="C932" t="s">
        <v>18</v>
      </c>
      <c r="D932" t="s">
        <v>112</v>
      </c>
      <c r="F932" t="s">
        <v>891</v>
      </c>
      <c r="G932" t="s">
        <v>195</v>
      </c>
      <c r="H932" t="s">
        <v>51</v>
      </c>
      <c r="I932" s="49">
        <v>43609</v>
      </c>
      <c r="J932" s="47">
        <v>50928348.5</v>
      </c>
      <c r="K932">
        <v>913068.5</v>
      </c>
      <c r="L932">
        <v>50943755.5</v>
      </c>
      <c r="M932">
        <v>0.608931</v>
      </c>
      <c r="N932">
        <v>1.75</v>
      </c>
      <c r="O932" t="s">
        <v>42</v>
      </c>
      <c r="P932" t="s">
        <v>23</v>
      </c>
      <c r="Q932" s="49">
        <v>41053</v>
      </c>
      <c r="R932" s="49" t="str">
        <f>DataTable[HLD_Portfolio]&amp;DataTable[HLD_Date]</f>
        <v>SCBFIXED43381</v>
      </c>
    </row>
    <row r="933" spans="1:18" x14ac:dyDescent="0.2">
      <c r="A933" s="49">
        <v>43381</v>
      </c>
      <c r="B933" t="s">
        <v>382</v>
      </c>
      <c r="C933" t="s">
        <v>18</v>
      </c>
      <c r="D933" t="s">
        <v>112</v>
      </c>
      <c r="F933" t="s">
        <v>604</v>
      </c>
      <c r="G933" t="s">
        <v>195</v>
      </c>
      <c r="H933" t="s">
        <v>51</v>
      </c>
      <c r="I933" s="49">
        <v>44016</v>
      </c>
      <c r="J933" s="47">
        <v>10342119.1</v>
      </c>
      <c r="K933">
        <v>115868.5</v>
      </c>
      <c r="L933">
        <v>10373028.300000001</v>
      </c>
      <c r="M933">
        <v>1.657349</v>
      </c>
      <c r="N933">
        <v>2.15</v>
      </c>
      <c r="O933" t="s">
        <v>42</v>
      </c>
      <c r="P933" t="s">
        <v>23</v>
      </c>
      <c r="Q933" s="49">
        <v>41824</v>
      </c>
      <c r="R933" s="49" t="str">
        <f>DataTable[HLD_Portfolio]&amp;DataTable[HLD_Date]</f>
        <v>SCBFIXED43381</v>
      </c>
    </row>
    <row r="934" spans="1:18" x14ac:dyDescent="0.2">
      <c r="A934" s="49">
        <v>43381</v>
      </c>
      <c r="B934" t="s">
        <v>382</v>
      </c>
      <c r="C934" t="s">
        <v>18</v>
      </c>
      <c r="D934" t="s">
        <v>112</v>
      </c>
      <c r="F934" t="s">
        <v>606</v>
      </c>
      <c r="G934" t="s">
        <v>554</v>
      </c>
      <c r="H934" t="s">
        <v>47</v>
      </c>
      <c r="I934" s="49">
        <v>43640</v>
      </c>
      <c r="J934" s="47">
        <v>40087080.799999997</v>
      </c>
      <c r="K934">
        <v>260318</v>
      </c>
      <c r="L934">
        <v>40110376.399999999</v>
      </c>
      <c r="M934">
        <v>0.69611500000000004</v>
      </c>
      <c r="N934">
        <v>1.82</v>
      </c>
      <c r="O934" t="s">
        <v>42</v>
      </c>
      <c r="P934" t="s">
        <v>23</v>
      </c>
      <c r="Q934" s="49">
        <v>42545</v>
      </c>
      <c r="R934" s="49" t="str">
        <f>DataTable[HLD_Portfolio]&amp;DataTable[HLD_Date]</f>
        <v>SCBFIXED43381</v>
      </c>
    </row>
    <row r="935" spans="1:18" x14ac:dyDescent="0.2">
      <c r="A935" s="49">
        <v>43381</v>
      </c>
      <c r="B935" t="s">
        <v>382</v>
      </c>
      <c r="C935" t="s">
        <v>18</v>
      </c>
      <c r="D935" t="s">
        <v>112</v>
      </c>
      <c r="F935" t="s">
        <v>892</v>
      </c>
      <c r="G935" t="s">
        <v>859</v>
      </c>
      <c r="H935" t="s">
        <v>43</v>
      </c>
      <c r="I935" s="49">
        <v>43536</v>
      </c>
      <c r="J935" s="47">
        <v>6361223.5899999999</v>
      </c>
      <c r="K935">
        <v>19246.939999999999</v>
      </c>
      <c r="L935">
        <v>6365086.0599999996</v>
      </c>
      <c r="M935">
        <v>0.41806199999999999</v>
      </c>
      <c r="N935">
        <v>1.7</v>
      </c>
      <c r="O935" t="s">
        <v>42</v>
      </c>
      <c r="P935" t="s">
        <v>23</v>
      </c>
      <c r="Q935" s="49">
        <v>41710</v>
      </c>
      <c r="R935" s="49" t="str">
        <f>DataTable[HLD_Portfolio]&amp;DataTable[HLD_Date]</f>
        <v>SCBFIXED43381</v>
      </c>
    </row>
    <row r="936" spans="1:18" x14ac:dyDescent="0.2">
      <c r="A936" s="49">
        <v>43381</v>
      </c>
      <c r="B936" t="s">
        <v>382</v>
      </c>
      <c r="C936" t="s">
        <v>18</v>
      </c>
      <c r="D936" t="s">
        <v>112</v>
      </c>
      <c r="F936" t="s">
        <v>723</v>
      </c>
      <c r="G936" t="s">
        <v>724</v>
      </c>
      <c r="H936" t="s">
        <v>47</v>
      </c>
      <c r="I936" s="49">
        <v>44375</v>
      </c>
      <c r="J936" s="47">
        <v>43843799.119999997</v>
      </c>
      <c r="K936">
        <v>310410.76</v>
      </c>
      <c r="L936">
        <v>44000000</v>
      </c>
      <c r="M936">
        <v>2.5937239999999999</v>
      </c>
      <c r="N936">
        <v>2.5</v>
      </c>
      <c r="O936" t="s">
        <v>42</v>
      </c>
      <c r="P936" t="s">
        <v>23</v>
      </c>
      <c r="Q936" s="49">
        <v>43279</v>
      </c>
      <c r="R936" s="49" t="str">
        <f>DataTable[HLD_Portfolio]&amp;DataTable[HLD_Date]</f>
        <v>SCBFIXED43381</v>
      </c>
    </row>
    <row r="937" spans="1:18" x14ac:dyDescent="0.2">
      <c r="A937" s="49">
        <v>43381</v>
      </c>
      <c r="B937" t="s">
        <v>382</v>
      </c>
      <c r="C937" t="s">
        <v>18</v>
      </c>
      <c r="D937" t="s">
        <v>112</v>
      </c>
      <c r="F937" t="s">
        <v>590</v>
      </c>
      <c r="G937" t="s">
        <v>245</v>
      </c>
      <c r="H937" t="s">
        <v>29</v>
      </c>
      <c r="I937" s="49">
        <v>43494</v>
      </c>
      <c r="J937" s="47">
        <v>33014872.109999999</v>
      </c>
      <c r="K937">
        <v>278646.71999999997</v>
      </c>
      <c r="L937">
        <v>33001089.329999998</v>
      </c>
      <c r="M937">
        <v>0.30485299999999999</v>
      </c>
      <c r="N937">
        <v>2.27</v>
      </c>
      <c r="O937" t="s">
        <v>42</v>
      </c>
      <c r="P937" t="s">
        <v>23</v>
      </c>
      <c r="Q937" s="49">
        <v>43248</v>
      </c>
      <c r="R937" s="49" t="str">
        <f>DataTable[HLD_Portfolio]&amp;DataTable[HLD_Date]</f>
        <v>SCBFIXED43381</v>
      </c>
    </row>
    <row r="938" spans="1:18" x14ac:dyDescent="0.2">
      <c r="A938" s="49">
        <v>43381</v>
      </c>
      <c r="B938" t="s">
        <v>382</v>
      </c>
      <c r="C938" t="s">
        <v>18</v>
      </c>
      <c r="D938" t="s">
        <v>112</v>
      </c>
      <c r="F938" t="s">
        <v>248</v>
      </c>
      <c r="G938" t="s">
        <v>247</v>
      </c>
      <c r="H938" t="s">
        <v>29</v>
      </c>
      <c r="I938" s="49">
        <v>44410</v>
      </c>
      <c r="J938" s="47">
        <v>45954220.799999997</v>
      </c>
      <c r="K938">
        <v>317084.90000000002</v>
      </c>
      <c r="L938">
        <v>46000000</v>
      </c>
      <c r="M938">
        <v>2.644279</v>
      </c>
      <c r="N938">
        <v>3.7</v>
      </c>
      <c r="O938" t="s">
        <v>42</v>
      </c>
      <c r="P938" t="s">
        <v>23</v>
      </c>
      <c r="Q938" s="49">
        <v>43314</v>
      </c>
      <c r="R938" s="49" t="str">
        <f>DataTable[HLD_Portfolio]&amp;DataTable[HLD_Date]</f>
        <v>SCBFIXED43381</v>
      </c>
    </row>
    <row r="939" spans="1:18" x14ac:dyDescent="0.2">
      <c r="A939" s="49">
        <v>43381</v>
      </c>
      <c r="B939" t="s">
        <v>382</v>
      </c>
      <c r="C939" t="s">
        <v>18</v>
      </c>
      <c r="D939" t="s">
        <v>112</v>
      </c>
      <c r="F939" t="s">
        <v>251</v>
      </c>
      <c r="G939" t="s">
        <v>252</v>
      </c>
      <c r="H939" t="s">
        <v>47</v>
      </c>
      <c r="I939" s="49">
        <v>44285</v>
      </c>
      <c r="J939" s="47">
        <v>3971529.2</v>
      </c>
      <c r="K939">
        <v>2229.04</v>
      </c>
      <c r="L939">
        <v>3984249.8</v>
      </c>
      <c r="M939">
        <v>2.3967779999999999</v>
      </c>
      <c r="N939">
        <v>2.4249999999999998</v>
      </c>
      <c r="O939" t="s">
        <v>42</v>
      </c>
      <c r="P939" t="s">
        <v>23</v>
      </c>
      <c r="Q939" s="49">
        <v>43189</v>
      </c>
      <c r="R939" s="49" t="str">
        <f>DataTable[HLD_Portfolio]&amp;DataTable[HLD_Date]</f>
        <v>SCBFIXED43381</v>
      </c>
    </row>
    <row r="940" spans="1:18" x14ac:dyDescent="0.2">
      <c r="A940" s="49">
        <v>43381</v>
      </c>
      <c r="B940" t="s">
        <v>382</v>
      </c>
      <c r="C940" t="s">
        <v>18</v>
      </c>
      <c r="D940" t="s">
        <v>112</v>
      </c>
      <c r="F940" t="s">
        <v>893</v>
      </c>
      <c r="G940" t="s">
        <v>579</v>
      </c>
      <c r="H940" t="s">
        <v>47</v>
      </c>
      <c r="I940" s="49">
        <v>43672</v>
      </c>
      <c r="J940" s="47">
        <v>50030772.5</v>
      </c>
      <c r="K940">
        <v>212671</v>
      </c>
      <c r="L940">
        <v>50081979.5</v>
      </c>
      <c r="M940">
        <v>0.78573300000000001</v>
      </c>
      <c r="N940">
        <v>1.85</v>
      </c>
      <c r="O940" t="s">
        <v>42</v>
      </c>
      <c r="P940" t="s">
        <v>23</v>
      </c>
      <c r="Q940" s="49">
        <v>42942</v>
      </c>
      <c r="R940" s="49" t="str">
        <f>DataTable[HLD_Portfolio]&amp;DataTable[HLD_Date]</f>
        <v>SCBFIXED43381</v>
      </c>
    </row>
    <row r="941" spans="1:18" x14ac:dyDescent="0.2">
      <c r="A941" s="49">
        <v>43381</v>
      </c>
      <c r="B941" t="s">
        <v>382</v>
      </c>
      <c r="C941" t="s">
        <v>18</v>
      </c>
      <c r="D941" t="s">
        <v>112</v>
      </c>
      <c r="F941" t="s">
        <v>627</v>
      </c>
      <c r="G941" t="s">
        <v>628</v>
      </c>
      <c r="H941" t="s">
        <v>126</v>
      </c>
      <c r="I941" s="49">
        <v>43392</v>
      </c>
      <c r="J941" s="47">
        <v>40013292</v>
      </c>
      <c r="K941">
        <v>568767.19999999995</v>
      </c>
      <c r="L941">
        <v>40013510.399999999</v>
      </c>
      <c r="M941">
        <v>2.7196999999999999E-2</v>
      </c>
      <c r="N941">
        <v>1.6</v>
      </c>
      <c r="O941" t="s">
        <v>42</v>
      </c>
      <c r="P941" t="s">
        <v>23</v>
      </c>
      <c r="Q941" s="49">
        <v>42116</v>
      </c>
      <c r="R941" s="49" t="str">
        <f>DataTable[HLD_Portfolio]&amp;DataTable[HLD_Date]</f>
        <v>SCBFIXED43381</v>
      </c>
    </row>
    <row r="942" spans="1:18" x14ac:dyDescent="0.2">
      <c r="A942" s="49">
        <v>43381</v>
      </c>
      <c r="B942" t="s">
        <v>382</v>
      </c>
      <c r="C942" t="s">
        <v>18</v>
      </c>
      <c r="D942" t="s">
        <v>112</v>
      </c>
      <c r="F942" t="s">
        <v>629</v>
      </c>
      <c r="G942" t="s">
        <v>231</v>
      </c>
      <c r="H942" t="s">
        <v>47</v>
      </c>
      <c r="I942" s="49">
        <v>43545</v>
      </c>
      <c r="J942" s="47">
        <v>45035477.549999997</v>
      </c>
      <c r="K942">
        <v>55602.9</v>
      </c>
      <c r="L942">
        <v>45064446.299999997</v>
      </c>
      <c r="M942">
        <v>0.443185</v>
      </c>
      <c r="N942">
        <v>1.73</v>
      </c>
      <c r="O942" t="s">
        <v>42</v>
      </c>
      <c r="P942" t="s">
        <v>23</v>
      </c>
      <c r="Q942" s="49">
        <v>42446</v>
      </c>
      <c r="R942" s="49" t="str">
        <f>DataTable[HLD_Portfolio]&amp;DataTable[HLD_Date]</f>
        <v>SCBFIXED43381</v>
      </c>
    </row>
    <row r="943" spans="1:18" x14ac:dyDescent="0.2">
      <c r="A943" s="49">
        <v>43381</v>
      </c>
      <c r="B943" t="s">
        <v>382</v>
      </c>
      <c r="C943" t="s">
        <v>18</v>
      </c>
      <c r="D943" t="s">
        <v>112</v>
      </c>
      <c r="F943" t="s">
        <v>633</v>
      </c>
      <c r="G943" t="s">
        <v>233</v>
      </c>
      <c r="H943" t="s">
        <v>126</v>
      </c>
      <c r="I943" s="49">
        <v>43580</v>
      </c>
      <c r="J943" s="47">
        <v>44990078.399999999</v>
      </c>
      <c r="K943">
        <v>403545.15</v>
      </c>
      <c r="L943">
        <v>45054423</v>
      </c>
      <c r="M943">
        <v>0.53365799999999997</v>
      </c>
      <c r="N943">
        <v>1.73</v>
      </c>
      <c r="O943" t="s">
        <v>42</v>
      </c>
      <c r="P943" t="s">
        <v>23</v>
      </c>
      <c r="Q943" s="49">
        <v>42485</v>
      </c>
      <c r="R943" s="49" t="str">
        <f>DataTable[HLD_Portfolio]&amp;DataTable[HLD_Date]</f>
        <v>SCBFIXED43381</v>
      </c>
    </row>
    <row r="944" spans="1:18" x14ac:dyDescent="0.2">
      <c r="A944" s="49">
        <v>43381</v>
      </c>
      <c r="B944" t="s">
        <v>382</v>
      </c>
      <c r="C944" t="s">
        <v>18</v>
      </c>
      <c r="D944" t="s">
        <v>112</v>
      </c>
      <c r="F944" t="s">
        <v>637</v>
      </c>
      <c r="G944" t="s">
        <v>237</v>
      </c>
      <c r="H944" t="s">
        <v>206</v>
      </c>
      <c r="I944" s="49">
        <v>44639</v>
      </c>
      <c r="J944" s="47">
        <v>119897829.59999999</v>
      </c>
      <c r="K944">
        <v>210410.4</v>
      </c>
      <c r="L944">
        <v>120000000</v>
      </c>
      <c r="M944">
        <v>3.227789</v>
      </c>
      <c r="N944">
        <v>3.2</v>
      </c>
      <c r="O944" t="s">
        <v>42</v>
      </c>
      <c r="P944" t="s">
        <v>23</v>
      </c>
      <c r="Q944" s="49">
        <v>43362</v>
      </c>
      <c r="R944" s="49" t="str">
        <f>DataTable[HLD_Portfolio]&amp;DataTable[HLD_Date]</f>
        <v>SCBFIXED43381</v>
      </c>
    </row>
    <row r="945" spans="1:18" x14ac:dyDescent="0.2">
      <c r="A945" s="49">
        <v>43381</v>
      </c>
      <c r="B945" t="s">
        <v>382</v>
      </c>
      <c r="C945" t="s">
        <v>116</v>
      </c>
      <c r="D945" t="s">
        <v>117</v>
      </c>
      <c r="F945" t="s">
        <v>894</v>
      </c>
      <c r="G945" t="s">
        <v>149</v>
      </c>
      <c r="H945" t="s">
        <v>27</v>
      </c>
      <c r="I945" s="49">
        <v>43543</v>
      </c>
      <c r="J945" s="47">
        <v>389214.98</v>
      </c>
      <c r="L945">
        <v>0</v>
      </c>
      <c r="M945">
        <v>0</v>
      </c>
      <c r="N945">
        <v>0</v>
      </c>
      <c r="O945" t="s">
        <v>119</v>
      </c>
      <c r="P945" t="s">
        <v>23</v>
      </c>
      <c r="Q945" s="49">
        <v>2</v>
      </c>
      <c r="R945" s="49" t="str">
        <f>DataTable[HLD_Portfolio]&amp;DataTable[HLD_Date]</f>
        <v>SCBFIXED43381</v>
      </c>
    </row>
    <row r="946" spans="1:18" x14ac:dyDescent="0.2">
      <c r="A946" s="49">
        <v>43381</v>
      </c>
      <c r="B946" t="s">
        <v>382</v>
      </c>
      <c r="C946" t="s">
        <v>895</v>
      </c>
      <c r="D946" t="s">
        <v>896</v>
      </c>
      <c r="E946" t="s">
        <v>896</v>
      </c>
      <c r="F946" t="s">
        <v>896</v>
      </c>
      <c r="I946" s="49"/>
      <c r="J946" s="47">
        <v>64964.6</v>
      </c>
      <c r="N946">
        <v>0</v>
      </c>
      <c r="Q946" s="49"/>
      <c r="R946" s="49" t="str">
        <f>DataTable[HLD_Portfolio]&amp;DataTable[HLD_Date]</f>
        <v>SCBFIXED43381</v>
      </c>
    </row>
    <row r="947" spans="1:18" x14ac:dyDescent="0.2">
      <c r="A947" s="49">
        <v>43381</v>
      </c>
      <c r="B947" t="s">
        <v>382</v>
      </c>
      <c r="C947" t="s">
        <v>132</v>
      </c>
      <c r="D947" t="s">
        <v>134</v>
      </c>
      <c r="E947" t="s">
        <v>134</v>
      </c>
      <c r="F947" t="s">
        <v>134</v>
      </c>
      <c r="I947" s="49"/>
      <c r="J947" s="47">
        <v>-23571.24</v>
      </c>
      <c r="N947">
        <v>0</v>
      </c>
      <c r="Q947" s="49"/>
      <c r="R947" s="49" t="str">
        <f>DataTable[HLD_Portfolio]&amp;DataTable[HLD_Date]</f>
        <v>SCBFIXED43381</v>
      </c>
    </row>
    <row r="948" spans="1:18" x14ac:dyDescent="0.2">
      <c r="A948" s="49">
        <v>43381</v>
      </c>
      <c r="B948" t="s">
        <v>382</v>
      </c>
      <c r="C948" t="s">
        <v>132</v>
      </c>
      <c r="D948" t="s">
        <v>135</v>
      </c>
      <c r="I948" s="49"/>
      <c r="J948" s="47">
        <v>-18905.759999999998</v>
      </c>
      <c r="K948">
        <v>0</v>
      </c>
      <c r="N948">
        <v>0</v>
      </c>
      <c r="Q948" s="49"/>
      <c r="R948" s="49" t="str">
        <f>DataTable[HLD_Portfolio]&amp;DataTable[HLD_Date]</f>
        <v>SCBFIXED43381</v>
      </c>
    </row>
    <row r="949" spans="1:18" x14ac:dyDescent="0.2">
      <c r="A949" s="49">
        <v>43381</v>
      </c>
      <c r="B949" t="s">
        <v>382</v>
      </c>
      <c r="C949" t="s">
        <v>132</v>
      </c>
      <c r="D949" t="s">
        <v>137</v>
      </c>
      <c r="E949" t="s">
        <v>137</v>
      </c>
      <c r="I949" s="49"/>
      <c r="J949" s="47">
        <v>-6750.86</v>
      </c>
      <c r="L949">
        <v>-6750.86</v>
      </c>
      <c r="N949">
        <v>0</v>
      </c>
      <c r="Q949" s="49"/>
      <c r="R949" s="49" t="str">
        <f>DataTable[HLD_Portfolio]&amp;DataTable[HLD_Date]</f>
        <v>SCBFIXED43381</v>
      </c>
    </row>
    <row r="950" spans="1:18" x14ac:dyDescent="0.2">
      <c r="A950" s="49">
        <v>43381</v>
      </c>
      <c r="B950" t="s">
        <v>382</v>
      </c>
      <c r="C950" t="s">
        <v>132</v>
      </c>
      <c r="D950" t="s">
        <v>138</v>
      </c>
      <c r="E950" t="s">
        <v>138</v>
      </c>
      <c r="I950" s="49"/>
      <c r="J950" s="47">
        <v>-90011.57</v>
      </c>
      <c r="L950">
        <v>-90011.57</v>
      </c>
      <c r="N950">
        <v>0</v>
      </c>
      <c r="Q950" s="49"/>
      <c r="R950" s="49" t="str">
        <f>DataTable[HLD_Portfolio]&amp;DataTable[HLD_Date]</f>
        <v>SCBFIXED43381</v>
      </c>
    </row>
    <row r="951" spans="1:18" x14ac:dyDescent="0.2">
      <c r="A951" s="49">
        <v>43381</v>
      </c>
      <c r="B951" t="s">
        <v>382</v>
      </c>
      <c r="C951" t="s">
        <v>132</v>
      </c>
      <c r="D951" t="s">
        <v>139</v>
      </c>
      <c r="E951" t="s">
        <v>139</v>
      </c>
      <c r="I951" s="49"/>
      <c r="J951" s="47">
        <v>-13726.77</v>
      </c>
      <c r="L951">
        <v>-13726.77</v>
      </c>
      <c r="N951">
        <v>0</v>
      </c>
      <c r="Q951" s="49"/>
      <c r="R951" s="49" t="str">
        <f>DataTable[HLD_Portfolio]&amp;DataTable[HLD_Date]</f>
        <v>SCBFIXED43381</v>
      </c>
    </row>
    <row r="952" spans="1:18" x14ac:dyDescent="0.2">
      <c r="A952" s="49">
        <v>43381</v>
      </c>
      <c r="B952" t="s">
        <v>382</v>
      </c>
      <c r="C952" t="s">
        <v>140</v>
      </c>
      <c r="D952" t="s">
        <v>137</v>
      </c>
      <c r="E952" t="s">
        <v>137</v>
      </c>
      <c r="I952" s="49"/>
      <c r="J952" s="47">
        <v>-3994.04</v>
      </c>
      <c r="L952">
        <v>-3994.04</v>
      </c>
      <c r="N952">
        <v>0</v>
      </c>
      <c r="Q952" s="49"/>
      <c r="R952" s="49" t="str">
        <f>DataTable[HLD_Portfolio]&amp;DataTable[HLD_Date]</f>
        <v>SCBFIXED43381</v>
      </c>
    </row>
    <row r="953" spans="1:18" x14ac:dyDescent="0.2">
      <c r="A953" s="49">
        <v>43381</v>
      </c>
      <c r="B953" t="s">
        <v>382</v>
      </c>
      <c r="C953" t="s">
        <v>140</v>
      </c>
      <c r="D953" t="s">
        <v>138</v>
      </c>
      <c r="E953" t="s">
        <v>138</v>
      </c>
      <c r="I953" s="49"/>
      <c r="J953" s="47">
        <v>-53253.9</v>
      </c>
      <c r="L953">
        <v>-53253.9</v>
      </c>
      <c r="N953">
        <v>0</v>
      </c>
      <c r="Q953" s="49"/>
      <c r="R953" s="49" t="str">
        <f>DataTable[HLD_Portfolio]&amp;DataTable[HLD_Date]</f>
        <v>SCBFIXED43381</v>
      </c>
    </row>
    <row r="954" spans="1:18" x14ac:dyDescent="0.2">
      <c r="A954" s="49">
        <v>43381</v>
      </c>
      <c r="B954" t="s">
        <v>382</v>
      </c>
      <c r="C954" t="s">
        <v>140</v>
      </c>
      <c r="D954" t="s">
        <v>139</v>
      </c>
      <c r="E954" t="s">
        <v>139</v>
      </c>
      <c r="I954" s="49"/>
      <c r="J954" s="47">
        <v>-8121.22</v>
      </c>
      <c r="L954">
        <v>-8121.22</v>
      </c>
      <c r="N954">
        <v>0</v>
      </c>
      <c r="Q954" s="49"/>
      <c r="R954" s="49" t="str">
        <f>DataTable[HLD_Portfolio]&amp;DataTable[HLD_Date]</f>
        <v>SCBFIXED43381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B546-6FC2-4B3E-9D15-880B29D05C26}">
  <sheetPr codeName="Sheet3"/>
  <dimension ref="A1:AA161"/>
  <sheetViews>
    <sheetView tabSelected="1" zoomScale="70" zoomScaleNormal="70" workbookViewId="0">
      <selection activeCell="F8" sqref="F8"/>
    </sheetView>
  </sheetViews>
  <sheetFormatPr defaultRowHeight="14.25" x14ac:dyDescent="0.2"/>
  <cols>
    <col min="1" max="1" width="11.375" customWidth="1"/>
    <col min="2" max="2" width="13" customWidth="1"/>
    <col min="3" max="3" width="11.625" style="2" customWidth="1"/>
    <col min="4" max="5" width="11.375" customWidth="1"/>
    <col min="6" max="6" width="15.125" customWidth="1"/>
    <col min="7" max="8" width="14.25" customWidth="1"/>
    <col min="9" max="9" width="18" customWidth="1"/>
    <col min="10" max="10" width="11.375" customWidth="1"/>
    <col min="11" max="11" width="14.25" customWidth="1"/>
    <col min="12" max="12" width="13.625" customWidth="1"/>
    <col min="13" max="13" width="11.375" customWidth="1"/>
    <col min="14" max="14" width="13.25" customWidth="1"/>
    <col min="15" max="15" width="14.125" customWidth="1"/>
    <col min="16" max="16" width="23.5" style="3" customWidth="1"/>
    <col min="17" max="18" width="20.75" customWidth="1"/>
    <col min="19" max="20" width="23.625" customWidth="1"/>
    <col min="21" max="21" width="21.75" customWidth="1"/>
    <col min="22" max="22" width="23" customWidth="1"/>
    <col min="23" max="23" width="21.375" customWidth="1"/>
    <col min="24" max="24" width="22.625" customWidth="1"/>
    <col min="25" max="25" width="15" customWidth="1"/>
    <col min="26" max="26" width="19.25" customWidth="1"/>
    <col min="27" max="27" width="21" customWidth="1"/>
    <col min="30" max="30" width="9" customWidth="1"/>
  </cols>
  <sheetData>
    <row r="1" spans="1:27" x14ac:dyDescent="0.2">
      <c r="A1" t="s">
        <v>321</v>
      </c>
      <c r="B1" t="s">
        <v>324</v>
      </c>
      <c r="C1" s="2" t="s">
        <v>330</v>
      </c>
      <c r="D1" t="s">
        <v>334</v>
      </c>
      <c r="E1" t="s">
        <v>335</v>
      </c>
      <c r="F1" t="s">
        <v>336</v>
      </c>
      <c r="G1" t="s">
        <v>337</v>
      </c>
      <c r="H1" t="s">
        <v>338</v>
      </c>
      <c r="I1" t="s">
        <v>339</v>
      </c>
      <c r="J1" t="s">
        <v>340</v>
      </c>
      <c r="K1" t="s">
        <v>341</v>
      </c>
      <c r="L1" t="s">
        <v>342</v>
      </c>
      <c r="M1" t="s">
        <v>343</v>
      </c>
      <c r="N1" t="s">
        <v>344</v>
      </c>
      <c r="O1" t="s">
        <v>345</v>
      </c>
      <c r="P1" s="3" t="s">
        <v>346</v>
      </c>
      <c r="Q1" t="s">
        <v>355</v>
      </c>
      <c r="R1" t="s">
        <v>356</v>
      </c>
      <c r="S1" t="s">
        <v>357</v>
      </c>
      <c r="T1" t="s">
        <v>358</v>
      </c>
      <c r="U1" t="s">
        <v>359</v>
      </c>
      <c r="V1" t="s">
        <v>360</v>
      </c>
      <c r="W1" t="s">
        <v>361</v>
      </c>
      <c r="X1" t="s">
        <v>362</v>
      </c>
      <c r="Y1" t="s">
        <v>363</v>
      </c>
      <c r="Z1" t="s">
        <v>364</v>
      </c>
      <c r="AA1" t="s">
        <v>442</v>
      </c>
    </row>
    <row r="2" spans="1:27" x14ac:dyDescent="0.2">
      <c r="A2" t="s">
        <v>17</v>
      </c>
      <c r="B2" t="s">
        <v>21</v>
      </c>
      <c r="C2" s="49">
        <v>43378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3568426752.9899998</v>
      </c>
      <c r="L2">
        <v>0</v>
      </c>
      <c r="M2">
        <v>33489809.789999999</v>
      </c>
      <c r="N2">
        <v>0</v>
      </c>
      <c r="O2">
        <v>0</v>
      </c>
      <c r="P2" s="3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3568426752.9899998</v>
      </c>
      <c r="X2">
        <v>0</v>
      </c>
      <c r="Y2">
        <v>0</v>
      </c>
      <c r="Z2">
        <v>-33489809.789999999</v>
      </c>
      <c r="AA2" t="str">
        <f>CashProjTable[Portfolio]&amp;CashProjTable[ProjDate]</f>
        <v>SCBSFF43378</v>
      </c>
    </row>
    <row r="3" spans="1:27" x14ac:dyDescent="0.2">
      <c r="A3" t="s">
        <v>17</v>
      </c>
      <c r="B3" t="s">
        <v>21</v>
      </c>
      <c r="C3" s="49">
        <v>43381</v>
      </c>
      <c r="D3">
        <v>223665130.63999999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106180563.48</v>
      </c>
      <c r="L3">
        <v>267776882.16999999</v>
      </c>
      <c r="M3">
        <v>34360108.140000001</v>
      </c>
      <c r="N3">
        <v>961303001.26999998</v>
      </c>
      <c r="O3">
        <v>680634442.10000002</v>
      </c>
      <c r="P3" s="3">
        <v>416571983748.96002</v>
      </c>
      <c r="Q3">
        <v>223665130.63999999</v>
      </c>
      <c r="R3">
        <v>0</v>
      </c>
      <c r="S3">
        <v>0</v>
      </c>
      <c r="T3">
        <v>0</v>
      </c>
      <c r="U3">
        <v>3568426752.9899998</v>
      </c>
      <c r="V3">
        <v>0</v>
      </c>
      <c r="W3">
        <v>106180563.48</v>
      </c>
      <c r="X3">
        <v>0</v>
      </c>
      <c r="Y3">
        <v>506603960.69</v>
      </c>
      <c r="Z3">
        <v>612441733.69000006</v>
      </c>
      <c r="AA3" t="str">
        <f>CashProjTable[Portfolio]&amp;CashProjTable[ProjDate]</f>
        <v>SCBSFF43381</v>
      </c>
    </row>
    <row r="4" spans="1:27" x14ac:dyDescent="0.2">
      <c r="A4" t="s">
        <v>17</v>
      </c>
      <c r="B4" t="s">
        <v>21</v>
      </c>
      <c r="C4" s="49">
        <v>43382</v>
      </c>
      <c r="D4">
        <v>1466314289.8</v>
      </c>
      <c r="E4">
        <v>2982000000</v>
      </c>
      <c r="F4">
        <v>0</v>
      </c>
      <c r="G4">
        <v>0</v>
      </c>
      <c r="H4">
        <v>0</v>
      </c>
      <c r="I4">
        <v>0</v>
      </c>
      <c r="J4">
        <v>0</v>
      </c>
      <c r="K4">
        <v>220182799.34</v>
      </c>
      <c r="L4">
        <v>543770068.24000001</v>
      </c>
      <c r="M4">
        <v>21878651.059999999</v>
      </c>
      <c r="N4">
        <v>1853575183.3599999</v>
      </c>
      <c r="O4">
        <v>62915002.160000198</v>
      </c>
      <c r="P4" s="3">
        <v>416571983748.96002</v>
      </c>
      <c r="Q4">
        <v>1466314289.8</v>
      </c>
      <c r="R4">
        <v>2982000000</v>
      </c>
      <c r="S4">
        <v>0</v>
      </c>
      <c r="T4">
        <v>0</v>
      </c>
      <c r="U4">
        <v>106180563.48</v>
      </c>
      <c r="V4">
        <v>0</v>
      </c>
      <c r="W4">
        <v>220182799.34</v>
      </c>
      <c r="X4">
        <v>0</v>
      </c>
      <c r="Y4">
        <v>-213506556.38</v>
      </c>
      <c r="Z4">
        <v>-248209455</v>
      </c>
      <c r="AA4" t="str">
        <f>CashProjTable[Portfolio]&amp;CashProjTable[ProjDate]</f>
        <v>SCBSFF43382</v>
      </c>
    </row>
    <row r="5" spans="1:27" x14ac:dyDescent="0.2">
      <c r="A5" t="s">
        <v>17</v>
      </c>
      <c r="B5" t="s">
        <v>21</v>
      </c>
      <c r="C5" s="49">
        <v>43383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62915002.160000198</v>
      </c>
      <c r="P5" s="3">
        <v>416571983748.96002</v>
      </c>
      <c r="Q5">
        <v>0</v>
      </c>
      <c r="R5">
        <v>0</v>
      </c>
      <c r="S5">
        <v>0</v>
      </c>
      <c r="T5">
        <v>0</v>
      </c>
      <c r="U5">
        <v>220182799.34</v>
      </c>
      <c r="V5">
        <v>0</v>
      </c>
      <c r="W5">
        <v>0</v>
      </c>
      <c r="X5">
        <v>0</v>
      </c>
      <c r="Y5">
        <v>41036351.100000203</v>
      </c>
      <c r="Z5">
        <v>-3063741.4999998398</v>
      </c>
      <c r="AA5" t="str">
        <f>CashProjTable[Portfolio]&amp;CashProjTable[ProjDate]</f>
        <v>SCBSFF43383</v>
      </c>
    </row>
    <row r="6" spans="1:27" x14ac:dyDescent="0.2">
      <c r="A6" t="s">
        <v>17</v>
      </c>
      <c r="B6" t="s">
        <v>21</v>
      </c>
      <c r="C6" s="49">
        <v>43384</v>
      </c>
      <c r="D6">
        <v>0</v>
      </c>
      <c r="E6">
        <v>4620000000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4682915002.1599998</v>
      </c>
      <c r="P6" s="3">
        <v>416571983748.96002</v>
      </c>
      <c r="Q6">
        <v>0</v>
      </c>
      <c r="R6">
        <v>4620000000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4682915002.1599998</v>
      </c>
      <c r="Z6">
        <v>4660693560.6199999</v>
      </c>
      <c r="AA6" t="str">
        <f>CashProjTable[Portfolio]&amp;CashProjTable[ProjDate]</f>
        <v>SCBSFF43384</v>
      </c>
    </row>
    <row r="7" spans="1:27" x14ac:dyDescent="0.2">
      <c r="A7" t="s">
        <v>17</v>
      </c>
      <c r="B7" t="s">
        <v>21</v>
      </c>
      <c r="C7" s="49">
        <v>43385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4682915002.1599998</v>
      </c>
      <c r="P7" s="3">
        <v>416571983748.96002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4682915002.1599998</v>
      </c>
      <c r="Z7">
        <v>4660693560.6199999</v>
      </c>
      <c r="AA7" t="str">
        <f>CashProjTable[Portfolio]&amp;CashProjTable[ProjDate]</f>
        <v>SCBSFF43385</v>
      </c>
    </row>
    <row r="8" spans="1:27" x14ac:dyDescent="0.2">
      <c r="A8" t="s">
        <v>17</v>
      </c>
      <c r="B8" t="s">
        <v>21</v>
      </c>
      <c r="C8" s="49">
        <v>43386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4682915002.1599998</v>
      </c>
      <c r="P8" s="3">
        <v>416571983748.96002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4682915002.1599998</v>
      </c>
      <c r="Z8">
        <v>4660693560.6199999</v>
      </c>
      <c r="AA8" t="str">
        <f>CashProjTable[Portfolio]&amp;CashProjTable[ProjDate]</f>
        <v>SCBSFF43386</v>
      </c>
    </row>
    <row r="9" spans="1:27" x14ac:dyDescent="0.2">
      <c r="A9" t="s">
        <v>17</v>
      </c>
      <c r="B9" t="s">
        <v>21</v>
      </c>
      <c r="C9" s="49">
        <v>43387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4682915002.1599998</v>
      </c>
      <c r="P9" s="3">
        <v>416571983748.96002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4682915002.1599998</v>
      </c>
      <c r="Z9">
        <v>4660693560.6199999</v>
      </c>
      <c r="AA9" t="str">
        <f>CashProjTable[Portfolio]&amp;CashProjTable[ProjDate]</f>
        <v>SCBSFF43387</v>
      </c>
    </row>
    <row r="10" spans="1:27" x14ac:dyDescent="0.2">
      <c r="A10" t="s">
        <v>17</v>
      </c>
      <c r="B10" t="s">
        <v>21</v>
      </c>
      <c r="C10" s="49">
        <v>43388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4682915002.1599998</v>
      </c>
      <c r="P10" s="3">
        <v>416571983748.96002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4682915002.1599998</v>
      </c>
      <c r="Z10">
        <v>4660693560.6199999</v>
      </c>
      <c r="AA10" t="str">
        <f>CashProjTable[Portfolio]&amp;CashProjTable[ProjDate]</f>
        <v>SCBSFF43388</v>
      </c>
    </row>
    <row r="11" spans="1:27" x14ac:dyDescent="0.2">
      <c r="A11" t="s">
        <v>17</v>
      </c>
      <c r="B11" t="s">
        <v>21</v>
      </c>
      <c r="C11" s="49">
        <v>43389</v>
      </c>
      <c r="D11">
        <v>0</v>
      </c>
      <c r="E11">
        <v>144000000</v>
      </c>
      <c r="F11">
        <v>0</v>
      </c>
      <c r="G11">
        <v>0</v>
      </c>
      <c r="H11">
        <v>2969370000</v>
      </c>
      <c r="I11">
        <v>49700655.200000003</v>
      </c>
      <c r="J11">
        <v>0</v>
      </c>
      <c r="K11">
        <v>0</v>
      </c>
      <c r="L11">
        <v>0</v>
      </c>
      <c r="M11">
        <v>0</v>
      </c>
      <c r="N11">
        <v>0</v>
      </c>
      <c r="O11">
        <v>7845985657.3599997</v>
      </c>
      <c r="P11" s="3">
        <v>413602613748.96002</v>
      </c>
      <c r="Q11">
        <v>0</v>
      </c>
      <c r="R11">
        <v>144000000</v>
      </c>
      <c r="S11">
        <v>0</v>
      </c>
      <c r="T11">
        <v>2969370000</v>
      </c>
      <c r="U11">
        <v>0</v>
      </c>
      <c r="V11">
        <v>0</v>
      </c>
      <c r="W11">
        <v>0</v>
      </c>
      <c r="X11">
        <v>0</v>
      </c>
      <c r="Y11">
        <v>7845985657.3599997</v>
      </c>
      <c r="Z11">
        <v>7774063560.6199999</v>
      </c>
      <c r="AA11" t="str">
        <f>CashProjTable[Portfolio]&amp;CashProjTable[ProjDate]</f>
        <v>SCBSFF43389</v>
      </c>
    </row>
    <row r="12" spans="1:27" x14ac:dyDescent="0.2">
      <c r="A12" t="s">
        <v>17</v>
      </c>
      <c r="B12" t="s">
        <v>21</v>
      </c>
      <c r="C12" s="49">
        <v>43390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7845985657.3599997</v>
      </c>
      <c r="P12" s="3">
        <v>413602613748.96002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7845985657.3599997</v>
      </c>
      <c r="Z12">
        <v>7823764215.8199997</v>
      </c>
      <c r="AA12" t="str">
        <f>CashProjTable[Portfolio]&amp;CashProjTable[ProjDate]</f>
        <v>SCBSFF43390</v>
      </c>
    </row>
    <row r="13" spans="1:27" x14ac:dyDescent="0.2">
      <c r="A13" t="s">
        <v>17</v>
      </c>
      <c r="B13" t="s">
        <v>21</v>
      </c>
      <c r="C13" s="49">
        <v>43391</v>
      </c>
      <c r="D13">
        <v>0</v>
      </c>
      <c r="E13">
        <v>3444000000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11289985657.360001</v>
      </c>
      <c r="P13" s="3">
        <v>413602613748.96002</v>
      </c>
      <c r="Q13">
        <v>0</v>
      </c>
      <c r="R13">
        <v>3444000000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11289985657.360001</v>
      </c>
      <c r="Z13">
        <v>11267764215.82</v>
      </c>
      <c r="AA13" t="str">
        <f>CashProjTable[Portfolio]&amp;CashProjTable[ProjDate]</f>
        <v>SCBSFF43391</v>
      </c>
    </row>
    <row r="14" spans="1:27" x14ac:dyDescent="0.2">
      <c r="A14" t="s">
        <v>17</v>
      </c>
      <c r="B14" t="s">
        <v>21</v>
      </c>
      <c r="C14" s="49">
        <v>43392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11289985657.360001</v>
      </c>
      <c r="P14" s="3">
        <v>413602613748.96002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11289985657.360001</v>
      </c>
      <c r="Z14">
        <v>11267764215.82</v>
      </c>
      <c r="AA14" t="str">
        <f>CashProjTable[Portfolio]&amp;CashProjTable[ProjDate]</f>
        <v>SCBSFF43392</v>
      </c>
    </row>
    <row r="15" spans="1:27" x14ac:dyDescent="0.2">
      <c r="A15" t="s">
        <v>17</v>
      </c>
      <c r="B15" t="s">
        <v>21</v>
      </c>
      <c r="C15" s="49">
        <v>43393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11289985657.360001</v>
      </c>
      <c r="P15" s="3">
        <v>413602613748.96002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11289985657.360001</v>
      </c>
      <c r="Z15">
        <v>11267764215.82</v>
      </c>
      <c r="AA15" t="str">
        <f>CashProjTable[Portfolio]&amp;CashProjTable[ProjDate]</f>
        <v>SCBSFF43393</v>
      </c>
    </row>
    <row r="16" spans="1:27" x14ac:dyDescent="0.2">
      <c r="A16" t="s">
        <v>17</v>
      </c>
      <c r="B16" t="s">
        <v>21</v>
      </c>
      <c r="C16" s="49">
        <v>43394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11289985657.360001</v>
      </c>
      <c r="P16" s="3">
        <v>413602613748.96002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11289985657.360001</v>
      </c>
      <c r="Z16">
        <v>11267764215.82</v>
      </c>
      <c r="AA16" t="str">
        <f>CashProjTable[Portfolio]&amp;CashProjTable[ProjDate]</f>
        <v>SCBSFF43394</v>
      </c>
    </row>
    <row r="17" spans="1:27" x14ac:dyDescent="0.2">
      <c r="A17" t="s">
        <v>17</v>
      </c>
      <c r="B17" t="s">
        <v>21</v>
      </c>
      <c r="C17" s="49">
        <v>43395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11289985657.360001</v>
      </c>
      <c r="P17" s="3">
        <v>413602613748.96002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11289985657.360001</v>
      </c>
      <c r="Z17">
        <v>11267764215.82</v>
      </c>
      <c r="AA17" t="str">
        <f>CashProjTable[Portfolio]&amp;CashProjTable[ProjDate]</f>
        <v>SCBSFF43395</v>
      </c>
    </row>
    <row r="18" spans="1:27" x14ac:dyDescent="0.2">
      <c r="A18" t="s">
        <v>142</v>
      </c>
      <c r="B18" t="s">
        <v>21</v>
      </c>
      <c r="C18" s="49">
        <v>43378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912388417.12</v>
      </c>
      <c r="L18">
        <v>0</v>
      </c>
      <c r="M18">
        <v>0</v>
      </c>
      <c r="N18">
        <v>0</v>
      </c>
      <c r="O18">
        <v>0</v>
      </c>
      <c r="P18" s="3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912388417.12</v>
      </c>
      <c r="X18">
        <v>0</v>
      </c>
      <c r="Y18">
        <v>0</v>
      </c>
      <c r="Z18">
        <v>0</v>
      </c>
      <c r="AA18" t="str">
        <f>CashProjTable[Portfolio]&amp;CashProjTable[ProjDate]</f>
        <v>SCBSFFPLUS43378</v>
      </c>
    </row>
    <row r="19" spans="1:27" x14ac:dyDescent="0.2">
      <c r="A19" t="s">
        <v>142</v>
      </c>
      <c r="B19" t="s">
        <v>21</v>
      </c>
      <c r="C19" s="49">
        <v>43381</v>
      </c>
      <c r="D19">
        <v>665066381.64999998</v>
      </c>
      <c r="E19">
        <v>1000000000</v>
      </c>
      <c r="F19">
        <v>2640547.9500000002</v>
      </c>
      <c r="G19">
        <v>714000000</v>
      </c>
      <c r="H19">
        <v>0</v>
      </c>
      <c r="I19">
        <v>0</v>
      </c>
      <c r="J19">
        <v>0</v>
      </c>
      <c r="K19">
        <v>965603009.30999994</v>
      </c>
      <c r="L19">
        <v>400925201.48000002</v>
      </c>
      <c r="M19">
        <v>0</v>
      </c>
      <c r="N19">
        <v>417295129.29000002</v>
      </c>
      <c r="O19">
        <v>10648845.939999999</v>
      </c>
      <c r="P19" s="3">
        <v>2061068898873.8999</v>
      </c>
      <c r="Q19">
        <v>665066381.64999998</v>
      </c>
      <c r="R19">
        <v>0</v>
      </c>
      <c r="S19">
        <v>714000000</v>
      </c>
      <c r="T19">
        <v>0</v>
      </c>
      <c r="U19">
        <v>912388417.12</v>
      </c>
      <c r="V19">
        <v>0</v>
      </c>
      <c r="W19">
        <v>965603009.30999994</v>
      </c>
      <c r="X19">
        <v>0</v>
      </c>
      <c r="Y19">
        <v>10648845.939999999</v>
      </c>
      <c r="Z19">
        <v>-991991702.00999999</v>
      </c>
      <c r="AA19" t="str">
        <f>CashProjTable[Portfolio]&amp;CashProjTable[ProjDate]</f>
        <v>SCBSFFPLUS43381</v>
      </c>
    </row>
    <row r="20" spans="1:27" x14ac:dyDescent="0.2">
      <c r="A20" t="s">
        <v>142</v>
      </c>
      <c r="B20" t="s">
        <v>21</v>
      </c>
      <c r="C20" s="49">
        <v>43382</v>
      </c>
      <c r="D20">
        <v>1338298357.55</v>
      </c>
      <c r="E20">
        <v>3131165337.3499999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1803515825.74</v>
      </c>
      <c r="P20" s="3">
        <v>2061068898873.8999</v>
      </c>
      <c r="Q20">
        <v>1338298357.55</v>
      </c>
      <c r="R20">
        <v>3131165337.3499999</v>
      </c>
      <c r="S20">
        <v>0</v>
      </c>
      <c r="T20">
        <v>0</v>
      </c>
      <c r="U20">
        <v>965603009.30999994</v>
      </c>
      <c r="V20">
        <v>0</v>
      </c>
      <c r="W20">
        <v>0</v>
      </c>
      <c r="X20">
        <v>0</v>
      </c>
      <c r="Y20">
        <v>1803515825.74</v>
      </c>
      <c r="Z20">
        <v>1803515825.74</v>
      </c>
      <c r="AA20" t="str">
        <f>CashProjTable[Portfolio]&amp;CashProjTable[ProjDate]</f>
        <v>SCBSFFPLUS43382</v>
      </c>
    </row>
    <row r="21" spans="1:27" x14ac:dyDescent="0.2">
      <c r="A21" t="s">
        <v>142</v>
      </c>
      <c r="B21" t="s">
        <v>21</v>
      </c>
      <c r="C21" s="49">
        <v>43383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1803515825.74</v>
      </c>
      <c r="P21" s="3">
        <v>2061068898873.8999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1803515825.74</v>
      </c>
      <c r="Z21">
        <v>1803515825.74</v>
      </c>
      <c r="AA21" t="str">
        <f>CashProjTable[Portfolio]&amp;CashProjTable[ProjDate]</f>
        <v>SCBSFFPLUS43383</v>
      </c>
    </row>
    <row r="22" spans="1:27" x14ac:dyDescent="0.2">
      <c r="A22" t="s">
        <v>142</v>
      </c>
      <c r="B22" t="s">
        <v>21</v>
      </c>
      <c r="C22" s="49">
        <v>43384</v>
      </c>
      <c r="D22">
        <v>0</v>
      </c>
      <c r="E22">
        <v>5577999999.9799995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7381515825.7200003</v>
      </c>
      <c r="P22" s="3">
        <v>2061068898873.8999</v>
      </c>
      <c r="Q22">
        <v>0</v>
      </c>
      <c r="R22">
        <v>5577999999.9799995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7381515825.7200003</v>
      </c>
      <c r="Z22">
        <v>7381515825.7200003</v>
      </c>
      <c r="AA22" t="str">
        <f>CashProjTable[Portfolio]&amp;CashProjTable[ProjDate]</f>
        <v>SCBSFFPLUS43384</v>
      </c>
    </row>
    <row r="23" spans="1:27" x14ac:dyDescent="0.2">
      <c r="A23" t="s">
        <v>142</v>
      </c>
      <c r="B23" t="s">
        <v>21</v>
      </c>
      <c r="C23" s="49">
        <v>43385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7381515825.7200003</v>
      </c>
      <c r="P23" s="3">
        <v>2061068898873.8999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7381515825.7200003</v>
      </c>
      <c r="Z23">
        <v>7381515825.7200003</v>
      </c>
      <c r="AA23" t="str">
        <f>CashProjTable[Portfolio]&amp;CashProjTable[ProjDate]</f>
        <v>SCBSFFPLUS43385</v>
      </c>
    </row>
    <row r="24" spans="1:27" x14ac:dyDescent="0.2">
      <c r="A24" t="s">
        <v>142</v>
      </c>
      <c r="B24" t="s">
        <v>21</v>
      </c>
      <c r="C24" s="49">
        <v>43386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7381515825.7200003</v>
      </c>
      <c r="P24" s="3">
        <v>2061068898873.8999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7381515825.7200003</v>
      </c>
      <c r="Z24">
        <v>7381515825.7200003</v>
      </c>
      <c r="AA24" t="str">
        <f>CashProjTable[Portfolio]&amp;CashProjTable[ProjDate]</f>
        <v>SCBSFFPLUS43386</v>
      </c>
    </row>
    <row r="25" spans="1:27" x14ac:dyDescent="0.2">
      <c r="A25" t="s">
        <v>142</v>
      </c>
      <c r="B25" t="s">
        <v>21</v>
      </c>
      <c r="C25" s="49">
        <v>43387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7381515825.7200003</v>
      </c>
      <c r="P25" s="3">
        <v>2061068898873.8999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7381515825.7200003</v>
      </c>
      <c r="Z25">
        <v>7381515825.7200003</v>
      </c>
      <c r="AA25" t="str">
        <f>CashProjTable[Portfolio]&amp;CashProjTable[ProjDate]</f>
        <v>SCBSFFPLUS43387</v>
      </c>
    </row>
    <row r="26" spans="1:27" x14ac:dyDescent="0.2">
      <c r="A26" t="s">
        <v>142</v>
      </c>
      <c r="B26" t="s">
        <v>21</v>
      </c>
      <c r="C26" s="49">
        <v>43388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7381515825.7200003</v>
      </c>
      <c r="P26" s="3">
        <v>2061068898873.8999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7381515825.7200003</v>
      </c>
      <c r="Z26">
        <v>7381515825.7200003</v>
      </c>
      <c r="AA26" t="str">
        <f>CashProjTable[Portfolio]&amp;CashProjTable[ProjDate]</f>
        <v>SCBSFFPLUS43388</v>
      </c>
    </row>
    <row r="27" spans="1:27" x14ac:dyDescent="0.2">
      <c r="A27" t="s">
        <v>142</v>
      </c>
      <c r="B27" t="s">
        <v>21</v>
      </c>
      <c r="C27" s="49">
        <v>43389</v>
      </c>
      <c r="D27">
        <v>0</v>
      </c>
      <c r="E27">
        <v>5281000000</v>
      </c>
      <c r="F27">
        <v>0</v>
      </c>
      <c r="G27">
        <v>0</v>
      </c>
      <c r="H27">
        <v>2969370000</v>
      </c>
      <c r="I27">
        <v>49700655.200000003</v>
      </c>
      <c r="J27">
        <v>0</v>
      </c>
      <c r="K27">
        <v>0</v>
      </c>
      <c r="L27">
        <v>0</v>
      </c>
      <c r="M27">
        <v>0</v>
      </c>
      <c r="N27">
        <v>0</v>
      </c>
      <c r="O27">
        <v>15681586480.92</v>
      </c>
      <c r="P27" s="3">
        <v>2058099528873.8999</v>
      </c>
      <c r="Q27">
        <v>0</v>
      </c>
      <c r="R27">
        <v>5281000000</v>
      </c>
      <c r="S27">
        <v>0</v>
      </c>
      <c r="T27">
        <v>2969370000</v>
      </c>
      <c r="U27">
        <v>0</v>
      </c>
      <c r="V27">
        <v>0</v>
      </c>
      <c r="W27">
        <v>0</v>
      </c>
      <c r="X27">
        <v>0</v>
      </c>
      <c r="Y27">
        <v>15681586480.92</v>
      </c>
      <c r="Z27">
        <v>15631885825.719999</v>
      </c>
      <c r="AA27" t="str">
        <f>CashProjTable[Portfolio]&amp;CashProjTable[ProjDate]</f>
        <v>SCBSFFPLUS43389</v>
      </c>
    </row>
    <row r="28" spans="1:27" x14ac:dyDescent="0.2">
      <c r="A28" t="s">
        <v>142</v>
      </c>
      <c r="B28" t="s">
        <v>21</v>
      </c>
      <c r="C28" s="49">
        <v>43390</v>
      </c>
      <c r="D28">
        <v>0</v>
      </c>
      <c r="E28">
        <v>70000000</v>
      </c>
      <c r="F28">
        <v>1589843.84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15753176324.76</v>
      </c>
      <c r="P28" s="3">
        <v>2058099528873.8999</v>
      </c>
      <c r="Q28">
        <v>0</v>
      </c>
      <c r="R28">
        <v>70000000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15753176324.76</v>
      </c>
      <c r="Z28">
        <v>15751586480.92</v>
      </c>
      <c r="AA28" t="str">
        <f>CashProjTable[Portfolio]&amp;CashProjTable[ProjDate]</f>
        <v>SCBSFFPLUS43390</v>
      </c>
    </row>
    <row r="29" spans="1:27" x14ac:dyDescent="0.2">
      <c r="A29" t="s">
        <v>142</v>
      </c>
      <c r="B29" t="s">
        <v>21</v>
      </c>
      <c r="C29" s="49">
        <v>43391</v>
      </c>
      <c r="D29">
        <v>0</v>
      </c>
      <c r="E29">
        <v>6686000000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22439176324.759998</v>
      </c>
      <c r="P29" s="3">
        <v>2058099528873.8999</v>
      </c>
      <c r="Q29">
        <v>0</v>
      </c>
      <c r="R29">
        <v>6686000000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22439176324.759998</v>
      </c>
      <c r="Z29">
        <v>22439176324.759998</v>
      </c>
      <c r="AA29" t="str">
        <f>CashProjTable[Portfolio]&amp;CashProjTable[ProjDate]</f>
        <v>SCBSFFPLUS43391</v>
      </c>
    </row>
    <row r="30" spans="1:27" x14ac:dyDescent="0.2">
      <c r="A30" t="s">
        <v>142</v>
      </c>
      <c r="B30" t="s">
        <v>21</v>
      </c>
      <c r="C30" s="49">
        <v>43392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22439176324.759998</v>
      </c>
      <c r="P30" s="3">
        <v>2058099528873.8999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22439176324.759998</v>
      </c>
      <c r="Z30">
        <v>22439176324.759998</v>
      </c>
      <c r="AA30" t="str">
        <f>CashProjTable[Portfolio]&amp;CashProjTable[ProjDate]</f>
        <v>SCBSFFPLUS43392</v>
      </c>
    </row>
    <row r="31" spans="1:27" x14ac:dyDescent="0.2">
      <c r="A31" t="s">
        <v>142</v>
      </c>
      <c r="B31" t="s">
        <v>21</v>
      </c>
      <c r="C31" s="49">
        <v>43393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22439176324.759998</v>
      </c>
      <c r="P31" s="3">
        <v>2058099528873.8999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22439176324.759998</v>
      </c>
      <c r="Z31">
        <v>22439176324.759998</v>
      </c>
      <c r="AA31" t="str">
        <f>CashProjTable[Portfolio]&amp;CashProjTable[ProjDate]</f>
        <v>SCBSFFPLUS43393</v>
      </c>
    </row>
    <row r="32" spans="1:27" x14ac:dyDescent="0.2">
      <c r="A32" t="s">
        <v>142</v>
      </c>
      <c r="B32" t="s">
        <v>21</v>
      </c>
      <c r="C32" s="49">
        <v>43394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22439176324.759998</v>
      </c>
      <c r="P32" s="3">
        <v>2058099528873.8999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22439176324.759998</v>
      </c>
      <c r="Z32">
        <v>22439176324.759998</v>
      </c>
      <c r="AA32" t="str">
        <f>CashProjTable[Portfolio]&amp;CashProjTable[ProjDate]</f>
        <v>SCBSFFPLUS43394</v>
      </c>
    </row>
    <row r="33" spans="1:27" x14ac:dyDescent="0.2">
      <c r="A33" t="s">
        <v>142</v>
      </c>
      <c r="B33" t="s">
        <v>21</v>
      </c>
      <c r="C33" s="49">
        <v>43395</v>
      </c>
      <c r="D33">
        <v>0</v>
      </c>
      <c r="E33">
        <v>0</v>
      </c>
      <c r="F33">
        <v>0</v>
      </c>
      <c r="G33">
        <v>0</v>
      </c>
      <c r="H33">
        <v>1685480000</v>
      </c>
      <c r="I33">
        <v>10244024.199999999</v>
      </c>
      <c r="J33">
        <v>0</v>
      </c>
      <c r="K33">
        <v>0</v>
      </c>
      <c r="L33">
        <v>0</v>
      </c>
      <c r="M33">
        <v>0</v>
      </c>
      <c r="N33">
        <v>0</v>
      </c>
      <c r="O33">
        <v>24134900348.959999</v>
      </c>
      <c r="P33" s="3">
        <v>2056414048873.8999</v>
      </c>
      <c r="Q33">
        <v>0</v>
      </c>
      <c r="R33">
        <v>0</v>
      </c>
      <c r="S33">
        <v>0</v>
      </c>
      <c r="T33">
        <v>1685480000</v>
      </c>
      <c r="U33">
        <v>0</v>
      </c>
      <c r="V33">
        <v>0</v>
      </c>
      <c r="W33">
        <v>0</v>
      </c>
      <c r="X33">
        <v>0</v>
      </c>
      <c r="Y33">
        <v>24134900348.959999</v>
      </c>
      <c r="Z33">
        <v>24124656324.759998</v>
      </c>
      <c r="AA33" t="str">
        <f>CashProjTable[Portfolio]&amp;CashProjTable[ProjDate]</f>
        <v>SCBSFFPLUS43395</v>
      </c>
    </row>
    <row r="34" spans="1:27" x14ac:dyDescent="0.2">
      <c r="A34" t="s">
        <v>143</v>
      </c>
      <c r="B34" t="s">
        <v>149</v>
      </c>
      <c r="C34" s="49">
        <v>43378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1357496.67</v>
      </c>
      <c r="L34">
        <v>0</v>
      </c>
      <c r="M34">
        <v>1707207.09</v>
      </c>
      <c r="N34">
        <v>0</v>
      </c>
      <c r="O34">
        <v>0</v>
      </c>
      <c r="P34" s="3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1357496.67</v>
      </c>
      <c r="X34">
        <v>0</v>
      </c>
      <c r="Y34">
        <v>-1707207.09</v>
      </c>
      <c r="Z34">
        <v>-1707207.09</v>
      </c>
      <c r="AA34" t="str">
        <f>CashProjTable[Portfolio]&amp;CashProjTable[ProjDate]</f>
        <v>SCBTMF43378</v>
      </c>
    </row>
    <row r="35" spans="1:27" x14ac:dyDescent="0.2">
      <c r="A35" t="s">
        <v>143</v>
      </c>
      <c r="B35" t="s">
        <v>149</v>
      </c>
      <c r="C35" s="49">
        <v>43381</v>
      </c>
      <c r="D35">
        <v>0</v>
      </c>
      <c r="E35">
        <v>34979220.299999997</v>
      </c>
      <c r="F35">
        <v>2179.4499999999998</v>
      </c>
      <c r="G35">
        <v>0</v>
      </c>
      <c r="H35">
        <v>0</v>
      </c>
      <c r="I35">
        <v>0</v>
      </c>
      <c r="J35">
        <v>0</v>
      </c>
      <c r="K35">
        <v>728400</v>
      </c>
      <c r="L35">
        <v>34580938.82</v>
      </c>
      <c r="M35">
        <v>3152358.11</v>
      </c>
      <c r="N35">
        <v>4578964.5199999996</v>
      </c>
      <c r="O35">
        <v>1876711.2</v>
      </c>
      <c r="P35" s="3">
        <v>213275021.05000001</v>
      </c>
      <c r="Q35">
        <v>0</v>
      </c>
      <c r="R35">
        <v>34979220.299999997</v>
      </c>
      <c r="S35">
        <v>0</v>
      </c>
      <c r="T35">
        <v>0</v>
      </c>
      <c r="U35">
        <v>1357496.67</v>
      </c>
      <c r="V35">
        <v>0</v>
      </c>
      <c r="W35">
        <v>728400</v>
      </c>
      <c r="X35">
        <v>0</v>
      </c>
      <c r="Y35">
        <v>-1275646.9099999999</v>
      </c>
      <c r="Z35">
        <v>-2985033.45</v>
      </c>
      <c r="AA35" t="str">
        <f>CashProjTable[Portfolio]&amp;CashProjTable[ProjDate]</f>
        <v>SCBTMF43381</v>
      </c>
    </row>
    <row r="36" spans="1:27" x14ac:dyDescent="0.2">
      <c r="A36" t="s">
        <v>143</v>
      </c>
      <c r="B36" t="s">
        <v>149</v>
      </c>
      <c r="C36" s="49">
        <v>43382</v>
      </c>
      <c r="D36">
        <v>0</v>
      </c>
      <c r="E36">
        <v>44948798.950000003</v>
      </c>
      <c r="F36">
        <v>0</v>
      </c>
      <c r="G36">
        <v>0</v>
      </c>
      <c r="H36">
        <v>0</v>
      </c>
      <c r="I36">
        <v>0</v>
      </c>
      <c r="J36">
        <v>0</v>
      </c>
      <c r="K36">
        <v>4731731.43</v>
      </c>
      <c r="L36">
        <v>44548145.490000002</v>
      </c>
      <c r="M36">
        <v>11254.71</v>
      </c>
      <c r="N36">
        <v>3647024.4</v>
      </c>
      <c r="O36">
        <v>3373326.4</v>
      </c>
      <c r="P36" s="3">
        <v>213275021.05000001</v>
      </c>
      <c r="Q36">
        <v>0</v>
      </c>
      <c r="R36">
        <v>44948798.950000003</v>
      </c>
      <c r="S36">
        <v>0</v>
      </c>
      <c r="T36">
        <v>0</v>
      </c>
      <c r="U36">
        <v>728400</v>
      </c>
      <c r="V36">
        <v>0</v>
      </c>
      <c r="W36">
        <v>4731731.43</v>
      </c>
      <c r="X36">
        <v>0</v>
      </c>
      <c r="Y36">
        <v>3362071.69</v>
      </c>
      <c r="Z36">
        <v>209713.58000000101</v>
      </c>
      <c r="AA36" t="str">
        <f>CashProjTable[Portfolio]&amp;CashProjTable[ProjDate]</f>
        <v>SCBTMF43382</v>
      </c>
    </row>
    <row r="37" spans="1:27" x14ac:dyDescent="0.2">
      <c r="A37" t="s">
        <v>143</v>
      </c>
      <c r="B37" t="s">
        <v>149</v>
      </c>
      <c r="C37" s="49">
        <v>43383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3373326.4</v>
      </c>
      <c r="P37" s="3">
        <v>213275021.05000001</v>
      </c>
      <c r="Q37">
        <v>0</v>
      </c>
      <c r="R37">
        <v>0</v>
      </c>
      <c r="S37">
        <v>0</v>
      </c>
      <c r="T37">
        <v>0</v>
      </c>
      <c r="U37">
        <v>4731731.43</v>
      </c>
      <c r="V37">
        <v>0</v>
      </c>
      <c r="W37">
        <v>0</v>
      </c>
      <c r="X37">
        <v>0</v>
      </c>
      <c r="Y37">
        <v>3373326.4</v>
      </c>
      <c r="Z37">
        <v>3362071.69</v>
      </c>
      <c r="AA37" t="str">
        <f>CashProjTable[Portfolio]&amp;CashProjTable[ProjDate]</f>
        <v>SCBTMF43383</v>
      </c>
    </row>
    <row r="38" spans="1:27" x14ac:dyDescent="0.2">
      <c r="A38" t="s">
        <v>143</v>
      </c>
      <c r="B38" t="s">
        <v>149</v>
      </c>
      <c r="C38" s="49">
        <v>43384</v>
      </c>
      <c r="D38">
        <v>0</v>
      </c>
      <c r="E38">
        <v>238000000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241373326.40000001</v>
      </c>
      <c r="P38" s="3">
        <v>213275021.05000001</v>
      </c>
      <c r="Q38">
        <v>0</v>
      </c>
      <c r="R38">
        <v>238000000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241373326.40000001</v>
      </c>
      <c r="Z38">
        <v>241373326.40000001</v>
      </c>
      <c r="AA38" t="str">
        <f>CashProjTable[Portfolio]&amp;CashProjTable[ProjDate]</f>
        <v>SCBTMF43384</v>
      </c>
    </row>
    <row r="39" spans="1:27" x14ac:dyDescent="0.2">
      <c r="A39" t="s">
        <v>143</v>
      </c>
      <c r="B39" t="s">
        <v>149</v>
      </c>
      <c r="C39" s="49">
        <v>43385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241373326.40000001</v>
      </c>
      <c r="P39" s="3">
        <v>213275021.05000001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241373326.40000001</v>
      </c>
      <c r="Z39">
        <v>241373326.40000001</v>
      </c>
      <c r="AA39" t="str">
        <f>CashProjTable[Portfolio]&amp;CashProjTable[ProjDate]</f>
        <v>SCBTMF43385</v>
      </c>
    </row>
    <row r="40" spans="1:27" x14ac:dyDescent="0.2">
      <c r="A40" t="s">
        <v>143</v>
      </c>
      <c r="B40" t="s">
        <v>149</v>
      </c>
      <c r="C40" s="49">
        <v>43386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241373326.40000001</v>
      </c>
      <c r="P40" s="3">
        <v>213275021.05000001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241373326.40000001</v>
      </c>
      <c r="Z40">
        <v>241373326.40000001</v>
      </c>
      <c r="AA40" t="str">
        <f>CashProjTable[Portfolio]&amp;CashProjTable[ProjDate]</f>
        <v>SCBTMF43386</v>
      </c>
    </row>
    <row r="41" spans="1:27" x14ac:dyDescent="0.2">
      <c r="A41" t="s">
        <v>143</v>
      </c>
      <c r="B41" t="s">
        <v>149</v>
      </c>
      <c r="C41" s="49">
        <v>43387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241373326.40000001</v>
      </c>
      <c r="P41" s="3">
        <v>213275021.05000001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241373326.40000001</v>
      </c>
      <c r="Z41">
        <v>241373326.40000001</v>
      </c>
      <c r="AA41" t="str">
        <f>CashProjTable[Portfolio]&amp;CashProjTable[ProjDate]</f>
        <v>SCBTMF43387</v>
      </c>
    </row>
    <row r="42" spans="1:27" x14ac:dyDescent="0.2">
      <c r="A42" t="s">
        <v>143</v>
      </c>
      <c r="B42" t="s">
        <v>149</v>
      </c>
      <c r="C42" s="49">
        <v>43388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241373326.40000001</v>
      </c>
      <c r="P42" s="3">
        <v>213275021.05000001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241373326.40000001</v>
      </c>
      <c r="Z42">
        <v>241373326.40000001</v>
      </c>
      <c r="AA42" t="str">
        <f>CashProjTable[Portfolio]&amp;CashProjTable[ProjDate]</f>
        <v>SCBTMF43388</v>
      </c>
    </row>
    <row r="43" spans="1:27" x14ac:dyDescent="0.2">
      <c r="A43" t="s">
        <v>143</v>
      </c>
      <c r="B43" t="s">
        <v>149</v>
      </c>
      <c r="C43" s="49">
        <v>43389</v>
      </c>
      <c r="D43">
        <v>0</v>
      </c>
      <c r="E43">
        <v>580000000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821373326.39999998</v>
      </c>
      <c r="P43" s="3">
        <v>213275021.05000001</v>
      </c>
      <c r="Q43">
        <v>0</v>
      </c>
      <c r="R43">
        <v>580000000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821373326.39999998</v>
      </c>
      <c r="Z43">
        <v>821373326.39999998</v>
      </c>
      <c r="AA43" t="str">
        <f>CashProjTable[Portfolio]&amp;CashProjTable[ProjDate]</f>
        <v>SCBTMF43389</v>
      </c>
    </row>
    <row r="44" spans="1:27" x14ac:dyDescent="0.2">
      <c r="A44" t="s">
        <v>143</v>
      </c>
      <c r="B44" t="s">
        <v>149</v>
      </c>
      <c r="C44" s="49">
        <v>43390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821373326.39999998</v>
      </c>
      <c r="P44" s="3">
        <v>213275021.05000001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821373326.39999998</v>
      </c>
      <c r="Z44">
        <v>821373326.39999998</v>
      </c>
      <c r="AA44" t="str">
        <f>CashProjTable[Portfolio]&amp;CashProjTable[ProjDate]</f>
        <v>SCBTMF43390</v>
      </c>
    </row>
    <row r="45" spans="1:27" x14ac:dyDescent="0.2">
      <c r="A45" t="s">
        <v>143</v>
      </c>
      <c r="B45" t="s">
        <v>149</v>
      </c>
      <c r="C45" s="49">
        <v>43391</v>
      </c>
      <c r="D45">
        <v>0</v>
      </c>
      <c r="E45">
        <v>422000000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1243373326.4000001</v>
      </c>
      <c r="P45" s="3">
        <v>213275021.05000001</v>
      </c>
      <c r="Q45">
        <v>0</v>
      </c>
      <c r="R45">
        <v>422000000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1243373326.4000001</v>
      </c>
      <c r="Z45">
        <v>1243373326.4000001</v>
      </c>
      <c r="AA45" t="str">
        <f>CashProjTable[Portfolio]&amp;CashProjTable[ProjDate]</f>
        <v>SCBTMF43391</v>
      </c>
    </row>
    <row r="46" spans="1:27" x14ac:dyDescent="0.2">
      <c r="A46" t="s">
        <v>143</v>
      </c>
      <c r="B46" t="s">
        <v>149</v>
      </c>
      <c r="C46" s="49">
        <v>43392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1243373326.4000001</v>
      </c>
      <c r="P46" s="3">
        <v>213275021.05000001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1243373326.4000001</v>
      </c>
      <c r="Z46">
        <v>1243373326.4000001</v>
      </c>
      <c r="AA46" t="str">
        <f>CashProjTable[Portfolio]&amp;CashProjTable[ProjDate]</f>
        <v>SCBTMF43392</v>
      </c>
    </row>
    <row r="47" spans="1:27" x14ac:dyDescent="0.2">
      <c r="A47" t="s">
        <v>143</v>
      </c>
      <c r="B47" t="s">
        <v>149</v>
      </c>
      <c r="C47" s="49">
        <v>43393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1243373326.4000001</v>
      </c>
      <c r="P47" s="3">
        <v>213275021.05000001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1243373326.4000001</v>
      </c>
      <c r="Z47">
        <v>1243373326.4000001</v>
      </c>
      <c r="AA47" t="str">
        <f>CashProjTable[Portfolio]&amp;CashProjTable[ProjDate]</f>
        <v>SCBTMF43393</v>
      </c>
    </row>
    <row r="48" spans="1:27" x14ac:dyDescent="0.2">
      <c r="A48" t="s">
        <v>143</v>
      </c>
      <c r="B48" t="s">
        <v>149</v>
      </c>
      <c r="C48" s="49">
        <v>43394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1243373326.4000001</v>
      </c>
      <c r="P48" s="3">
        <v>213275021.05000001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1243373326.4000001</v>
      </c>
      <c r="Z48">
        <v>1243373326.4000001</v>
      </c>
      <c r="AA48" t="str">
        <f>CashProjTable[Portfolio]&amp;CashProjTable[ProjDate]</f>
        <v>SCBTMF43394</v>
      </c>
    </row>
    <row r="49" spans="1:27" x14ac:dyDescent="0.2">
      <c r="A49" t="s">
        <v>143</v>
      </c>
      <c r="B49" t="s">
        <v>149</v>
      </c>
      <c r="C49" s="49">
        <v>43395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1243373326.4000001</v>
      </c>
      <c r="P49" s="3">
        <v>213275021.05000001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1243373326.4000001</v>
      </c>
      <c r="Z49">
        <v>1243373326.4000001</v>
      </c>
      <c r="AA49" t="str">
        <f>CashProjTable[Portfolio]&amp;CashProjTable[ProjDate]</f>
        <v>SCBTMF43395</v>
      </c>
    </row>
    <row r="50" spans="1:27" x14ac:dyDescent="0.2">
      <c r="A50" t="s">
        <v>144</v>
      </c>
      <c r="B50" t="s">
        <v>149</v>
      </c>
      <c r="C50" s="49">
        <v>43378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348412419.41000003</v>
      </c>
      <c r="L50">
        <v>0</v>
      </c>
      <c r="M50">
        <v>0</v>
      </c>
      <c r="N50">
        <v>0</v>
      </c>
      <c r="O50">
        <v>0</v>
      </c>
      <c r="P50" s="3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348412419.41000003</v>
      </c>
      <c r="X50">
        <v>0</v>
      </c>
      <c r="Y50">
        <v>0</v>
      </c>
      <c r="Z50">
        <v>0</v>
      </c>
      <c r="AA50" t="str">
        <f>CashProjTable[Portfolio]&amp;CashProjTable[ProjDate]</f>
        <v>SCBTMFPLUS43378</v>
      </c>
    </row>
    <row r="51" spans="1:27" x14ac:dyDescent="0.2">
      <c r="A51" t="s">
        <v>144</v>
      </c>
      <c r="B51" t="s">
        <v>149</v>
      </c>
      <c r="C51" s="49">
        <v>43381</v>
      </c>
      <c r="D51">
        <v>0</v>
      </c>
      <c r="E51">
        <v>0</v>
      </c>
      <c r="F51">
        <v>0</v>
      </c>
      <c r="G51">
        <v>0</v>
      </c>
      <c r="H51">
        <v>20000000</v>
      </c>
      <c r="I51">
        <v>0</v>
      </c>
      <c r="J51">
        <v>0</v>
      </c>
      <c r="K51">
        <v>8817393.7100000009</v>
      </c>
      <c r="L51">
        <v>25402605.449999999</v>
      </c>
      <c r="M51">
        <v>0</v>
      </c>
      <c r="N51">
        <v>3031733.8</v>
      </c>
      <c r="O51">
        <v>2752722.41</v>
      </c>
      <c r="P51" s="3">
        <v>694818769.55999994</v>
      </c>
      <c r="Q51">
        <v>0</v>
      </c>
      <c r="R51">
        <v>0</v>
      </c>
      <c r="S51">
        <v>0</v>
      </c>
      <c r="T51">
        <v>20000000</v>
      </c>
      <c r="U51">
        <v>348412419.41000003</v>
      </c>
      <c r="V51">
        <v>0</v>
      </c>
      <c r="W51">
        <v>8817393.7100000009</v>
      </c>
      <c r="X51">
        <v>0</v>
      </c>
      <c r="Y51">
        <v>2752722.41</v>
      </c>
      <c r="Z51">
        <v>2752722.41</v>
      </c>
      <c r="AA51" t="str">
        <f>CashProjTable[Portfolio]&amp;CashProjTable[ProjDate]</f>
        <v>SCBTMFPLUS43381</v>
      </c>
    </row>
    <row r="52" spans="1:27" x14ac:dyDescent="0.2">
      <c r="A52" t="s">
        <v>144</v>
      </c>
      <c r="B52" t="s">
        <v>149</v>
      </c>
      <c r="C52" s="49">
        <v>43382</v>
      </c>
      <c r="D52">
        <v>569733661.33000004</v>
      </c>
      <c r="E52">
        <v>474000000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-92980938.919999897</v>
      </c>
      <c r="P52" s="3">
        <v>694818769.55999994</v>
      </c>
      <c r="Q52">
        <v>569733661.33000004</v>
      </c>
      <c r="R52">
        <v>474000000</v>
      </c>
      <c r="S52">
        <v>0</v>
      </c>
      <c r="T52">
        <v>0</v>
      </c>
      <c r="U52">
        <v>8817393.7100000009</v>
      </c>
      <c r="V52">
        <v>0</v>
      </c>
      <c r="W52">
        <v>0</v>
      </c>
      <c r="X52">
        <v>0</v>
      </c>
      <c r="Y52">
        <v>-92980938.919999897</v>
      </c>
      <c r="Z52">
        <v>-92980938.919999897</v>
      </c>
      <c r="AA52" t="str">
        <f>CashProjTable[Portfolio]&amp;CashProjTable[ProjDate]</f>
        <v>SCBTMFPLUS43382</v>
      </c>
    </row>
    <row r="53" spans="1:27" x14ac:dyDescent="0.2">
      <c r="A53" t="s">
        <v>144</v>
      </c>
      <c r="B53" t="s">
        <v>149</v>
      </c>
      <c r="C53" s="49">
        <v>43383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-92980938.919999897</v>
      </c>
      <c r="P53" s="3">
        <v>694818769.55999994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-92980938.919999897</v>
      </c>
      <c r="Z53">
        <v>-92980938.919999897</v>
      </c>
      <c r="AA53" t="str">
        <f>CashProjTable[Portfolio]&amp;CashProjTable[ProjDate]</f>
        <v>SCBTMFPLUS43383</v>
      </c>
    </row>
    <row r="54" spans="1:27" x14ac:dyDescent="0.2">
      <c r="A54" t="s">
        <v>144</v>
      </c>
      <c r="B54" t="s">
        <v>149</v>
      </c>
      <c r="C54" s="49">
        <v>43384</v>
      </c>
      <c r="D54">
        <v>0</v>
      </c>
      <c r="E54">
        <v>874800000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781819061.08000004</v>
      </c>
      <c r="P54" s="3">
        <v>694818769.55999994</v>
      </c>
      <c r="Q54">
        <v>0</v>
      </c>
      <c r="R54">
        <v>874800000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781819061.08000004</v>
      </c>
      <c r="Z54">
        <v>781819061.08000004</v>
      </c>
      <c r="AA54" t="str">
        <f>CashProjTable[Portfolio]&amp;CashProjTable[ProjDate]</f>
        <v>SCBTMFPLUS43384</v>
      </c>
    </row>
    <row r="55" spans="1:27" x14ac:dyDescent="0.2">
      <c r="A55" t="s">
        <v>144</v>
      </c>
      <c r="B55" t="s">
        <v>149</v>
      </c>
      <c r="C55" s="49">
        <v>43385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781819061.08000004</v>
      </c>
      <c r="P55" s="3">
        <v>694818769.55999994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781819061.08000004</v>
      </c>
      <c r="Z55">
        <v>781819061.08000004</v>
      </c>
      <c r="AA55" t="str">
        <f>CashProjTable[Portfolio]&amp;CashProjTable[ProjDate]</f>
        <v>SCBTMFPLUS43385</v>
      </c>
    </row>
    <row r="56" spans="1:27" x14ac:dyDescent="0.2">
      <c r="A56" t="s">
        <v>144</v>
      </c>
      <c r="B56" t="s">
        <v>149</v>
      </c>
      <c r="C56" s="49">
        <v>43386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781819061.08000004</v>
      </c>
      <c r="P56" s="3">
        <v>694818769.55999994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781819061.08000004</v>
      </c>
      <c r="Z56">
        <v>781819061.08000004</v>
      </c>
      <c r="AA56" t="str">
        <f>CashProjTable[Portfolio]&amp;CashProjTable[ProjDate]</f>
        <v>SCBTMFPLUS43386</v>
      </c>
    </row>
    <row r="57" spans="1:27" x14ac:dyDescent="0.2">
      <c r="A57" t="s">
        <v>144</v>
      </c>
      <c r="B57" t="s">
        <v>149</v>
      </c>
      <c r="C57" s="49">
        <v>43387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781819061.08000004</v>
      </c>
      <c r="P57" s="3">
        <v>694818769.55999994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781819061.08000004</v>
      </c>
      <c r="Z57">
        <v>781819061.08000004</v>
      </c>
      <c r="AA57" t="str">
        <f>CashProjTable[Portfolio]&amp;CashProjTable[ProjDate]</f>
        <v>SCBTMFPLUS43387</v>
      </c>
    </row>
    <row r="58" spans="1:27" x14ac:dyDescent="0.2">
      <c r="A58" t="s">
        <v>144</v>
      </c>
      <c r="B58" t="s">
        <v>149</v>
      </c>
      <c r="C58" s="49">
        <v>43388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781819061.08000004</v>
      </c>
      <c r="P58" s="3">
        <v>694818769.55999994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781819061.08000004</v>
      </c>
      <c r="Z58">
        <v>781819061.08000004</v>
      </c>
      <c r="AA58" t="str">
        <f>CashProjTable[Portfolio]&amp;CashProjTable[ProjDate]</f>
        <v>SCBTMFPLUS43388</v>
      </c>
    </row>
    <row r="59" spans="1:27" x14ac:dyDescent="0.2">
      <c r="A59" t="s">
        <v>144</v>
      </c>
      <c r="B59" t="s">
        <v>149</v>
      </c>
      <c r="C59" s="49">
        <v>43389</v>
      </c>
      <c r="D59">
        <v>0</v>
      </c>
      <c r="E59">
        <v>820000000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1601819061.0799999</v>
      </c>
      <c r="P59" s="3">
        <v>694818769.55999994</v>
      </c>
      <c r="Q59">
        <v>0</v>
      </c>
      <c r="R59">
        <v>820000000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1601819061.0799999</v>
      </c>
      <c r="Z59">
        <v>1601819061.0799999</v>
      </c>
      <c r="AA59" t="str">
        <f>CashProjTable[Portfolio]&amp;CashProjTable[ProjDate]</f>
        <v>SCBTMFPLUS43389</v>
      </c>
    </row>
    <row r="60" spans="1:27" x14ac:dyDescent="0.2">
      <c r="A60" t="s">
        <v>144</v>
      </c>
      <c r="B60" t="s">
        <v>149</v>
      </c>
      <c r="C60" s="49">
        <v>43390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1601819061.0799999</v>
      </c>
      <c r="P60" s="3">
        <v>694818769.55999994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1601819061.0799999</v>
      </c>
      <c r="Z60">
        <v>1601819061.0799999</v>
      </c>
      <c r="AA60" t="str">
        <f>CashProjTable[Portfolio]&amp;CashProjTable[ProjDate]</f>
        <v>SCBTMFPLUS43390</v>
      </c>
    </row>
    <row r="61" spans="1:27" x14ac:dyDescent="0.2">
      <c r="A61" t="s">
        <v>144</v>
      </c>
      <c r="B61" t="s">
        <v>149</v>
      </c>
      <c r="C61" s="49">
        <v>43391</v>
      </c>
      <c r="D61">
        <v>0</v>
      </c>
      <c r="E61">
        <v>532000000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2133819061.0799999</v>
      </c>
      <c r="P61" s="3">
        <v>694818769.55999994</v>
      </c>
      <c r="Q61">
        <v>0</v>
      </c>
      <c r="R61">
        <v>532000000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2133819061.0799999</v>
      </c>
      <c r="Z61">
        <v>2133819061.0799999</v>
      </c>
      <c r="AA61" t="str">
        <f>CashProjTable[Portfolio]&amp;CashProjTable[ProjDate]</f>
        <v>SCBTMFPLUS43391</v>
      </c>
    </row>
    <row r="62" spans="1:27" x14ac:dyDescent="0.2">
      <c r="A62" t="s">
        <v>144</v>
      </c>
      <c r="B62" t="s">
        <v>149</v>
      </c>
      <c r="C62" s="49">
        <v>43392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2133819061.0799999</v>
      </c>
      <c r="P62" s="3">
        <v>694818769.55999994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2133819061.0799999</v>
      </c>
      <c r="Z62">
        <v>2133819061.0799999</v>
      </c>
      <c r="AA62" t="str">
        <f>CashProjTable[Portfolio]&amp;CashProjTable[ProjDate]</f>
        <v>SCBTMFPLUS43392</v>
      </c>
    </row>
    <row r="63" spans="1:27" x14ac:dyDescent="0.2">
      <c r="A63" t="s">
        <v>144</v>
      </c>
      <c r="B63" t="s">
        <v>149</v>
      </c>
      <c r="C63" s="49">
        <v>43393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2133819061.0799999</v>
      </c>
      <c r="P63" s="3">
        <v>694818769.55999994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2133819061.0799999</v>
      </c>
      <c r="Z63">
        <v>2133819061.0799999</v>
      </c>
      <c r="AA63" t="str">
        <f>CashProjTable[Portfolio]&amp;CashProjTable[ProjDate]</f>
        <v>SCBTMFPLUS43393</v>
      </c>
    </row>
    <row r="64" spans="1:27" x14ac:dyDescent="0.2">
      <c r="A64" t="s">
        <v>144</v>
      </c>
      <c r="B64" t="s">
        <v>149</v>
      </c>
      <c r="C64" s="49">
        <v>43394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2133819061.0799999</v>
      </c>
      <c r="P64" s="3">
        <v>694818769.55999994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2133819061.0799999</v>
      </c>
      <c r="Z64">
        <v>2133819061.0799999</v>
      </c>
      <c r="AA64" t="str">
        <f>CashProjTable[Portfolio]&amp;CashProjTable[ProjDate]</f>
        <v>SCBTMFPLUS43394</v>
      </c>
    </row>
    <row r="65" spans="1:27" x14ac:dyDescent="0.2">
      <c r="A65" t="s">
        <v>144</v>
      </c>
      <c r="B65" t="s">
        <v>149</v>
      </c>
      <c r="C65" s="49">
        <v>43395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2133819061.0799999</v>
      </c>
      <c r="P65" s="3">
        <v>694818769.55999994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2133819061.0799999</v>
      </c>
      <c r="Z65">
        <v>2133819061.0799999</v>
      </c>
      <c r="AA65" t="str">
        <f>CashProjTable[Portfolio]&amp;CashProjTable[ProjDate]</f>
        <v>SCBTMFPLUS43395</v>
      </c>
    </row>
    <row r="66" spans="1:27" x14ac:dyDescent="0.2">
      <c r="A66" t="s">
        <v>385</v>
      </c>
      <c r="B66" t="s">
        <v>21</v>
      </c>
      <c r="C66" s="49">
        <v>43378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7563575</v>
      </c>
      <c r="L66">
        <v>0</v>
      </c>
      <c r="M66">
        <v>0</v>
      </c>
      <c r="N66">
        <v>0</v>
      </c>
      <c r="O66">
        <v>0</v>
      </c>
      <c r="P66" s="3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-7563575</v>
      </c>
      <c r="Z66">
        <v>-7563575</v>
      </c>
      <c r="AA66" t="str">
        <f>CashProjTable[Portfolio]&amp;CashProjTable[ProjDate]</f>
        <v>SCBRF43378</v>
      </c>
    </row>
    <row r="67" spans="1:27" x14ac:dyDescent="0.2">
      <c r="A67" t="s">
        <v>385</v>
      </c>
      <c r="B67" t="s">
        <v>21</v>
      </c>
      <c r="C67" s="49">
        <v>43381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44000</v>
      </c>
      <c r="L67">
        <v>0</v>
      </c>
      <c r="M67">
        <v>0</v>
      </c>
      <c r="N67">
        <v>0</v>
      </c>
      <c r="O67">
        <v>794271.84</v>
      </c>
      <c r="P67" s="3">
        <v>14273968.210000001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7563575</v>
      </c>
      <c r="X67">
        <v>0</v>
      </c>
      <c r="Y67">
        <v>750271.84</v>
      </c>
      <c r="Z67">
        <v>-6813303.1600000001</v>
      </c>
      <c r="AA67" t="str">
        <f>CashProjTable[Portfolio]&amp;CashProjTable[ProjDate]</f>
        <v>SCBRF43381</v>
      </c>
    </row>
    <row r="68" spans="1:27" x14ac:dyDescent="0.2">
      <c r="A68" t="s">
        <v>385</v>
      </c>
      <c r="B68" t="s">
        <v>21</v>
      </c>
      <c r="C68" s="49">
        <v>43382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4000</v>
      </c>
      <c r="L68">
        <v>0</v>
      </c>
      <c r="M68">
        <v>0</v>
      </c>
      <c r="N68">
        <v>0</v>
      </c>
      <c r="O68">
        <v>798271.84</v>
      </c>
      <c r="P68" s="3">
        <v>14273968.210000001</v>
      </c>
      <c r="Q68">
        <v>0</v>
      </c>
      <c r="R68">
        <v>0</v>
      </c>
      <c r="S68">
        <v>0</v>
      </c>
      <c r="T68">
        <v>0</v>
      </c>
      <c r="U68">
        <v>7563575</v>
      </c>
      <c r="V68">
        <v>0</v>
      </c>
      <c r="W68">
        <v>44000</v>
      </c>
      <c r="X68">
        <v>0</v>
      </c>
      <c r="Y68">
        <v>794271.84</v>
      </c>
      <c r="Z68">
        <v>750271.84</v>
      </c>
      <c r="AA68" t="str">
        <f>CashProjTable[Portfolio]&amp;CashProjTable[ProjDate]</f>
        <v>SCBRF43382</v>
      </c>
    </row>
    <row r="69" spans="1:27" x14ac:dyDescent="0.2">
      <c r="A69" t="s">
        <v>385</v>
      </c>
      <c r="B69" t="s">
        <v>21</v>
      </c>
      <c r="C69" s="49">
        <v>43383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798271.84</v>
      </c>
      <c r="P69" s="3">
        <v>14273968.210000001</v>
      </c>
      <c r="Q69">
        <v>0</v>
      </c>
      <c r="R69">
        <v>0</v>
      </c>
      <c r="S69">
        <v>0</v>
      </c>
      <c r="T69">
        <v>0</v>
      </c>
      <c r="U69">
        <v>44000</v>
      </c>
      <c r="V69">
        <v>0</v>
      </c>
      <c r="W69">
        <v>4000</v>
      </c>
      <c r="X69">
        <v>0</v>
      </c>
      <c r="Y69">
        <v>798271.84</v>
      </c>
      <c r="Z69">
        <v>794271.84</v>
      </c>
      <c r="AA69" t="str">
        <f>CashProjTable[Portfolio]&amp;CashProjTable[ProjDate]</f>
        <v>SCBRF43383</v>
      </c>
    </row>
    <row r="70" spans="1:27" x14ac:dyDescent="0.2">
      <c r="A70" t="s">
        <v>385</v>
      </c>
      <c r="B70" t="s">
        <v>21</v>
      </c>
      <c r="C70" s="49">
        <v>43384</v>
      </c>
      <c r="D70">
        <v>0</v>
      </c>
      <c r="E70">
        <v>20000000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20798271.84</v>
      </c>
      <c r="P70" s="3">
        <v>14273968.210000001</v>
      </c>
      <c r="Q70">
        <v>0</v>
      </c>
      <c r="R70">
        <v>20000000</v>
      </c>
      <c r="S70">
        <v>0</v>
      </c>
      <c r="T70">
        <v>0</v>
      </c>
      <c r="U70">
        <v>4000</v>
      </c>
      <c r="V70">
        <v>0</v>
      </c>
      <c r="W70">
        <v>0</v>
      </c>
      <c r="X70">
        <v>0</v>
      </c>
      <c r="Y70">
        <v>20798271.84</v>
      </c>
      <c r="Z70">
        <v>20798271.84</v>
      </c>
      <c r="AA70" t="str">
        <f>CashProjTable[Portfolio]&amp;CashProjTable[ProjDate]</f>
        <v>SCBRF43384</v>
      </c>
    </row>
    <row r="71" spans="1:27" x14ac:dyDescent="0.2">
      <c r="A71" t="s">
        <v>385</v>
      </c>
      <c r="B71" t="s">
        <v>21</v>
      </c>
      <c r="C71" s="49">
        <v>43385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20798271.84</v>
      </c>
      <c r="P71" s="3">
        <v>14273968.210000001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20798271.84</v>
      </c>
      <c r="Z71">
        <v>20798271.84</v>
      </c>
      <c r="AA71" t="str">
        <f>CashProjTable[Portfolio]&amp;CashProjTable[ProjDate]</f>
        <v>SCBRF43385</v>
      </c>
    </row>
    <row r="72" spans="1:27" x14ac:dyDescent="0.2">
      <c r="A72" t="s">
        <v>385</v>
      </c>
      <c r="B72" t="s">
        <v>21</v>
      </c>
      <c r="C72" s="49">
        <v>43386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20798271.84</v>
      </c>
      <c r="P72" s="3">
        <v>14273968.210000001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20798271.84</v>
      </c>
      <c r="Z72">
        <v>20798271.84</v>
      </c>
      <c r="AA72" t="str">
        <f>CashProjTable[Portfolio]&amp;CashProjTable[ProjDate]</f>
        <v>SCBRF43386</v>
      </c>
    </row>
    <row r="73" spans="1:27" x14ac:dyDescent="0.2">
      <c r="A73" t="s">
        <v>385</v>
      </c>
      <c r="B73" t="s">
        <v>21</v>
      </c>
      <c r="C73" s="49">
        <v>43387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20798271.84</v>
      </c>
      <c r="P73" s="3">
        <v>14273968.210000001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20798271.84</v>
      </c>
      <c r="Z73">
        <v>20798271.84</v>
      </c>
      <c r="AA73" t="str">
        <f>CashProjTable[Portfolio]&amp;CashProjTable[ProjDate]</f>
        <v>SCBRF43387</v>
      </c>
    </row>
    <row r="74" spans="1:27" x14ac:dyDescent="0.2">
      <c r="A74" t="s">
        <v>385</v>
      </c>
      <c r="B74" t="s">
        <v>21</v>
      </c>
      <c r="C74" s="49">
        <v>43388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20798271.84</v>
      </c>
      <c r="P74" s="3">
        <v>14273968.210000001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20798271.84</v>
      </c>
      <c r="Z74">
        <v>20798271.84</v>
      </c>
      <c r="AA74" t="str">
        <f>CashProjTable[Portfolio]&amp;CashProjTable[ProjDate]</f>
        <v>SCBRF43388</v>
      </c>
    </row>
    <row r="75" spans="1:27" x14ac:dyDescent="0.2">
      <c r="A75" t="s">
        <v>385</v>
      </c>
      <c r="B75" t="s">
        <v>21</v>
      </c>
      <c r="C75" s="49">
        <v>43389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20798271.84</v>
      </c>
      <c r="P75" s="3">
        <v>14273968.210000001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20798271.84</v>
      </c>
      <c r="Z75">
        <v>20798271.84</v>
      </c>
      <c r="AA75" t="str">
        <f>CashProjTable[Portfolio]&amp;CashProjTable[ProjDate]</f>
        <v>SCBRF43389</v>
      </c>
    </row>
    <row r="76" spans="1:27" x14ac:dyDescent="0.2">
      <c r="A76" t="s">
        <v>385</v>
      </c>
      <c r="B76" t="s">
        <v>21</v>
      </c>
      <c r="C76" s="49">
        <v>43390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20798271.84</v>
      </c>
      <c r="P76" s="3">
        <v>14273968.210000001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20798271.84</v>
      </c>
      <c r="Z76">
        <v>20798271.84</v>
      </c>
      <c r="AA76" t="str">
        <f>CashProjTable[Portfolio]&amp;CashProjTable[ProjDate]</f>
        <v>SCBRF43390</v>
      </c>
    </row>
    <row r="77" spans="1:27" x14ac:dyDescent="0.2">
      <c r="A77" t="s">
        <v>385</v>
      </c>
      <c r="B77" t="s">
        <v>21</v>
      </c>
      <c r="C77" s="49">
        <v>43391</v>
      </c>
      <c r="D77">
        <v>0</v>
      </c>
      <c r="E77">
        <v>8000000</v>
      </c>
      <c r="F77">
        <v>65972.600000000006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28864244.440000001</v>
      </c>
      <c r="P77" s="3">
        <v>14273968.210000001</v>
      </c>
      <c r="Q77">
        <v>0</v>
      </c>
      <c r="R77">
        <v>8000000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28864244.440000001</v>
      </c>
      <c r="Z77">
        <v>28798271.84</v>
      </c>
      <c r="AA77" t="str">
        <f>CashProjTable[Portfolio]&amp;CashProjTable[ProjDate]</f>
        <v>SCBRF43391</v>
      </c>
    </row>
    <row r="78" spans="1:27" x14ac:dyDescent="0.2">
      <c r="A78" t="s">
        <v>385</v>
      </c>
      <c r="B78" t="s">
        <v>21</v>
      </c>
      <c r="C78" s="49">
        <v>43392</v>
      </c>
      <c r="D78">
        <v>0</v>
      </c>
      <c r="E78">
        <v>4000000</v>
      </c>
      <c r="F78">
        <v>60164.38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32924408.82</v>
      </c>
      <c r="P78" s="3">
        <v>14273968.210000001</v>
      </c>
      <c r="Q78">
        <v>0</v>
      </c>
      <c r="R78">
        <v>4000000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32924408.82</v>
      </c>
      <c r="Z78">
        <v>32864244.440000001</v>
      </c>
      <c r="AA78" t="str">
        <f>CashProjTable[Portfolio]&amp;CashProjTable[ProjDate]</f>
        <v>SCBRF43392</v>
      </c>
    </row>
    <row r="79" spans="1:27" x14ac:dyDescent="0.2">
      <c r="A79" t="s">
        <v>385</v>
      </c>
      <c r="B79" t="s">
        <v>21</v>
      </c>
      <c r="C79" s="49">
        <v>43393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32924408.82</v>
      </c>
      <c r="P79" s="3">
        <v>14273968.210000001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32924408.82</v>
      </c>
      <c r="Z79">
        <v>32924408.82</v>
      </c>
      <c r="AA79" t="str">
        <f>CashProjTable[Portfolio]&amp;CashProjTable[ProjDate]</f>
        <v>SCBRF43393</v>
      </c>
    </row>
    <row r="80" spans="1:27" x14ac:dyDescent="0.2">
      <c r="A80" t="s">
        <v>385</v>
      </c>
      <c r="B80" t="s">
        <v>21</v>
      </c>
      <c r="C80" s="49">
        <v>43394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32924408.82</v>
      </c>
      <c r="P80" s="3">
        <v>14273968.210000001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32924408.82</v>
      </c>
      <c r="Z80">
        <v>32924408.82</v>
      </c>
      <c r="AA80" t="str">
        <f>CashProjTable[Portfolio]&amp;CashProjTable[ProjDate]</f>
        <v>SCBRF43394</v>
      </c>
    </row>
    <row r="81" spans="1:27" x14ac:dyDescent="0.2">
      <c r="A81" t="s">
        <v>385</v>
      </c>
      <c r="B81" t="s">
        <v>21</v>
      </c>
      <c r="C81" s="49">
        <v>43395</v>
      </c>
      <c r="D81">
        <v>0</v>
      </c>
      <c r="E81">
        <v>0</v>
      </c>
      <c r="F81">
        <v>209071.23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33133480.050000001</v>
      </c>
      <c r="P81" s="3">
        <v>14273968.210000001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33133480.050000001</v>
      </c>
      <c r="Z81">
        <v>32924408.82</v>
      </c>
      <c r="AA81" t="str">
        <f>CashProjTable[Portfolio]&amp;CashProjTable[ProjDate]</f>
        <v>SCBRF43395</v>
      </c>
    </row>
    <row r="82" spans="1:27" x14ac:dyDescent="0.2">
      <c r="A82" t="s">
        <v>386</v>
      </c>
      <c r="B82" t="s">
        <v>21</v>
      </c>
      <c r="C82" s="49">
        <v>43378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2666500</v>
      </c>
      <c r="L82">
        <v>0</v>
      </c>
      <c r="M82">
        <v>120680.74</v>
      </c>
      <c r="N82">
        <v>0</v>
      </c>
      <c r="O82">
        <v>0</v>
      </c>
      <c r="P82" s="3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-2787180.74</v>
      </c>
      <c r="Z82">
        <v>-2787180.74</v>
      </c>
      <c r="AA82" t="str">
        <f>CashProjTable[Portfolio]&amp;CashProjTable[ProjDate]</f>
        <v>SCBRM143378</v>
      </c>
    </row>
    <row r="83" spans="1:27" x14ac:dyDescent="0.2">
      <c r="A83" t="s">
        <v>386</v>
      </c>
      <c r="B83" t="s">
        <v>21</v>
      </c>
      <c r="C83" s="49">
        <v>43381</v>
      </c>
      <c r="D83">
        <v>0</v>
      </c>
      <c r="E83">
        <v>0</v>
      </c>
      <c r="F83">
        <v>0</v>
      </c>
      <c r="G83">
        <v>10000000</v>
      </c>
      <c r="H83">
        <v>0</v>
      </c>
      <c r="I83">
        <v>0</v>
      </c>
      <c r="J83">
        <v>0</v>
      </c>
      <c r="K83">
        <v>3084762</v>
      </c>
      <c r="L83">
        <v>2052315.78</v>
      </c>
      <c r="M83">
        <v>554696.82999999996</v>
      </c>
      <c r="N83">
        <v>15699468.970000001</v>
      </c>
      <c r="O83">
        <v>3104031.18</v>
      </c>
      <c r="P83" s="3">
        <v>412412384.37</v>
      </c>
      <c r="Q83">
        <v>0</v>
      </c>
      <c r="R83">
        <v>0</v>
      </c>
      <c r="S83">
        <v>10000000</v>
      </c>
      <c r="T83">
        <v>0</v>
      </c>
      <c r="U83">
        <v>0</v>
      </c>
      <c r="V83">
        <v>0</v>
      </c>
      <c r="W83">
        <v>2666500</v>
      </c>
      <c r="X83">
        <v>0</v>
      </c>
      <c r="Y83">
        <v>-535427.65</v>
      </c>
      <c r="Z83">
        <v>-3322608.39</v>
      </c>
      <c r="AA83" t="str">
        <f>CashProjTable[Portfolio]&amp;CashProjTable[ProjDate]</f>
        <v>SCBRM143381</v>
      </c>
    </row>
    <row r="84" spans="1:27" x14ac:dyDescent="0.2">
      <c r="A84" t="s">
        <v>386</v>
      </c>
      <c r="B84" t="s">
        <v>21</v>
      </c>
      <c r="C84" s="49">
        <v>43382</v>
      </c>
      <c r="D84">
        <v>319850430.75999999</v>
      </c>
      <c r="E84">
        <v>335976105.19999999</v>
      </c>
      <c r="F84">
        <v>0</v>
      </c>
      <c r="G84">
        <v>0</v>
      </c>
      <c r="H84">
        <v>0</v>
      </c>
      <c r="I84">
        <v>0</v>
      </c>
      <c r="J84">
        <v>0</v>
      </c>
      <c r="K84">
        <v>6004200</v>
      </c>
      <c r="L84">
        <v>4604815.75</v>
      </c>
      <c r="M84">
        <v>62036.6</v>
      </c>
      <c r="N84">
        <v>21933959.41</v>
      </c>
      <c r="O84">
        <v>-1242832.94000006</v>
      </c>
      <c r="P84" s="3">
        <v>412412384.37</v>
      </c>
      <c r="Q84">
        <v>319850430.75999999</v>
      </c>
      <c r="R84">
        <v>335976105.19999999</v>
      </c>
      <c r="S84">
        <v>0</v>
      </c>
      <c r="T84">
        <v>0</v>
      </c>
      <c r="U84">
        <v>2666500</v>
      </c>
      <c r="V84">
        <v>0</v>
      </c>
      <c r="W84">
        <v>3084762</v>
      </c>
      <c r="X84">
        <v>0</v>
      </c>
      <c r="Y84">
        <v>-7309069.5400000596</v>
      </c>
      <c r="Z84">
        <v>-10948528.3700001</v>
      </c>
      <c r="AA84" t="str">
        <f>CashProjTable[Portfolio]&amp;CashProjTable[ProjDate]</f>
        <v>SCBRM143382</v>
      </c>
    </row>
    <row r="85" spans="1:27" x14ac:dyDescent="0.2">
      <c r="A85" t="s">
        <v>386</v>
      </c>
      <c r="B85" t="s">
        <v>21</v>
      </c>
      <c r="C85" s="49">
        <v>43383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-1242832.94000006</v>
      </c>
      <c r="P85" s="3">
        <v>412412384.37</v>
      </c>
      <c r="Q85">
        <v>0</v>
      </c>
      <c r="R85">
        <v>0</v>
      </c>
      <c r="S85">
        <v>0</v>
      </c>
      <c r="T85">
        <v>0</v>
      </c>
      <c r="U85">
        <v>3084762</v>
      </c>
      <c r="V85">
        <v>0</v>
      </c>
      <c r="W85">
        <v>6004200</v>
      </c>
      <c r="X85">
        <v>0</v>
      </c>
      <c r="Y85">
        <v>-1242832.94000006</v>
      </c>
      <c r="Z85">
        <v>-7309069.5400000596</v>
      </c>
      <c r="AA85" t="str">
        <f>CashProjTable[Portfolio]&amp;CashProjTable[ProjDate]</f>
        <v>SCBRM143383</v>
      </c>
    </row>
    <row r="86" spans="1:27" x14ac:dyDescent="0.2">
      <c r="A86" t="s">
        <v>386</v>
      </c>
      <c r="B86" t="s">
        <v>21</v>
      </c>
      <c r="C86" s="49">
        <v>43384</v>
      </c>
      <c r="D86">
        <v>0</v>
      </c>
      <c r="E86">
        <v>234000000</v>
      </c>
      <c r="F86">
        <v>137174.79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232894341.84999999</v>
      </c>
      <c r="P86" s="3">
        <v>412412384.37</v>
      </c>
      <c r="Q86">
        <v>0</v>
      </c>
      <c r="R86">
        <v>234000000</v>
      </c>
      <c r="S86">
        <v>0</v>
      </c>
      <c r="T86">
        <v>0</v>
      </c>
      <c r="U86">
        <v>6004200</v>
      </c>
      <c r="V86">
        <v>0</v>
      </c>
      <c r="W86">
        <v>0</v>
      </c>
      <c r="X86">
        <v>0</v>
      </c>
      <c r="Y86">
        <v>232894341.84999999</v>
      </c>
      <c r="Z86">
        <v>232757167.06</v>
      </c>
      <c r="AA86" t="str">
        <f>CashProjTable[Portfolio]&amp;CashProjTable[ProjDate]</f>
        <v>SCBRM143384</v>
      </c>
    </row>
    <row r="87" spans="1:27" x14ac:dyDescent="0.2">
      <c r="A87" t="s">
        <v>386</v>
      </c>
      <c r="B87" t="s">
        <v>21</v>
      </c>
      <c r="C87" s="49">
        <v>43385</v>
      </c>
      <c r="D87">
        <v>0</v>
      </c>
      <c r="E87">
        <v>0</v>
      </c>
      <c r="F87">
        <v>3086432.88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235980774.72999999</v>
      </c>
      <c r="P87" s="3">
        <v>412412384.37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235980774.72999999</v>
      </c>
      <c r="Z87">
        <v>232894341.84999999</v>
      </c>
      <c r="AA87" t="str">
        <f>CashProjTable[Portfolio]&amp;CashProjTable[ProjDate]</f>
        <v>SCBRM143385</v>
      </c>
    </row>
    <row r="88" spans="1:27" x14ac:dyDescent="0.2">
      <c r="A88" t="s">
        <v>386</v>
      </c>
      <c r="B88" t="s">
        <v>21</v>
      </c>
      <c r="C88" s="49">
        <v>43386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235980774.72999999</v>
      </c>
      <c r="P88" s="3">
        <v>412412384.37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235980774.72999999</v>
      </c>
      <c r="Z88">
        <v>235980774.72999999</v>
      </c>
      <c r="AA88" t="str">
        <f>CashProjTable[Portfolio]&amp;CashProjTable[ProjDate]</f>
        <v>SCBRM143386</v>
      </c>
    </row>
    <row r="89" spans="1:27" x14ac:dyDescent="0.2">
      <c r="A89" t="s">
        <v>386</v>
      </c>
      <c r="B89" t="s">
        <v>21</v>
      </c>
      <c r="C89" s="49">
        <v>43387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235980774.72999999</v>
      </c>
      <c r="P89" s="3">
        <v>412412384.37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235980774.72999999</v>
      </c>
      <c r="Z89">
        <v>235980774.72999999</v>
      </c>
      <c r="AA89" t="str">
        <f>CashProjTable[Portfolio]&amp;CashProjTable[ProjDate]</f>
        <v>SCBRM143387</v>
      </c>
    </row>
    <row r="90" spans="1:27" x14ac:dyDescent="0.2">
      <c r="A90" t="s">
        <v>386</v>
      </c>
      <c r="B90" t="s">
        <v>21</v>
      </c>
      <c r="C90" s="49">
        <v>43388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235980774.72999999</v>
      </c>
      <c r="P90" s="3">
        <v>412412384.37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235980774.72999999</v>
      </c>
      <c r="Z90">
        <v>235980774.72999999</v>
      </c>
      <c r="AA90" t="str">
        <f>CashProjTable[Portfolio]&amp;CashProjTable[ProjDate]</f>
        <v>SCBRM143388</v>
      </c>
    </row>
    <row r="91" spans="1:27" x14ac:dyDescent="0.2">
      <c r="A91" t="s">
        <v>386</v>
      </c>
      <c r="B91" t="s">
        <v>21</v>
      </c>
      <c r="C91" s="49">
        <v>43389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235980774.72999999</v>
      </c>
      <c r="P91" s="3">
        <v>412412384.37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235980774.72999999</v>
      </c>
      <c r="Z91">
        <v>235980774.72999999</v>
      </c>
      <c r="AA91" t="str">
        <f>CashProjTable[Portfolio]&amp;CashProjTable[ProjDate]</f>
        <v>SCBRM143389</v>
      </c>
    </row>
    <row r="92" spans="1:27" x14ac:dyDescent="0.2">
      <c r="A92" t="s">
        <v>386</v>
      </c>
      <c r="B92" t="s">
        <v>21</v>
      </c>
      <c r="C92" s="49">
        <v>43390</v>
      </c>
      <c r="D92">
        <v>0</v>
      </c>
      <c r="E92">
        <v>95017000</v>
      </c>
      <c r="F92">
        <v>2158031.31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333155806.04000002</v>
      </c>
      <c r="P92" s="3">
        <v>412412384.37</v>
      </c>
      <c r="Q92">
        <v>0</v>
      </c>
      <c r="R92">
        <v>95017000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333155806.04000002</v>
      </c>
      <c r="Z92">
        <v>330997774.73000002</v>
      </c>
      <c r="AA92" t="str">
        <f>CashProjTable[Portfolio]&amp;CashProjTable[ProjDate]</f>
        <v>SCBRM143390</v>
      </c>
    </row>
    <row r="93" spans="1:27" x14ac:dyDescent="0.2">
      <c r="A93" t="s">
        <v>386</v>
      </c>
      <c r="B93" t="s">
        <v>21</v>
      </c>
      <c r="C93" s="49">
        <v>43391</v>
      </c>
      <c r="D93">
        <v>0</v>
      </c>
      <c r="E93">
        <v>280000000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613155806.03999996</v>
      </c>
      <c r="P93" s="3">
        <v>412412384.37</v>
      </c>
      <c r="Q93">
        <v>0</v>
      </c>
      <c r="R93">
        <v>280000000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613155806.03999996</v>
      </c>
      <c r="Z93">
        <v>613155806.03999996</v>
      </c>
      <c r="AA93" t="str">
        <f>CashProjTable[Portfolio]&amp;CashProjTable[ProjDate]</f>
        <v>SCBRM143391</v>
      </c>
    </row>
    <row r="94" spans="1:27" x14ac:dyDescent="0.2">
      <c r="A94" t="s">
        <v>386</v>
      </c>
      <c r="B94" t="s">
        <v>21</v>
      </c>
      <c r="C94" s="49">
        <v>43392</v>
      </c>
      <c r="D94">
        <v>0</v>
      </c>
      <c r="E94">
        <v>10000000</v>
      </c>
      <c r="F94">
        <v>150410.96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623306217</v>
      </c>
      <c r="P94" s="3">
        <v>412412384.37</v>
      </c>
      <c r="Q94">
        <v>0</v>
      </c>
      <c r="R94">
        <v>10000000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623306217</v>
      </c>
      <c r="Z94">
        <v>623155806.03999996</v>
      </c>
      <c r="AA94" t="str">
        <f>CashProjTable[Portfolio]&amp;CashProjTable[ProjDate]</f>
        <v>SCBRM143392</v>
      </c>
    </row>
    <row r="95" spans="1:27" x14ac:dyDescent="0.2">
      <c r="A95" t="s">
        <v>386</v>
      </c>
      <c r="B95" t="s">
        <v>21</v>
      </c>
      <c r="C95" s="49">
        <v>43393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623306217</v>
      </c>
      <c r="P95" s="3">
        <v>412412384.37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623306217</v>
      </c>
      <c r="Z95">
        <v>623306217</v>
      </c>
      <c r="AA95" t="str">
        <f>CashProjTable[Portfolio]&amp;CashProjTable[ProjDate]</f>
        <v>SCBRM143393</v>
      </c>
    </row>
    <row r="96" spans="1:27" x14ac:dyDescent="0.2">
      <c r="A96" t="s">
        <v>386</v>
      </c>
      <c r="B96" t="s">
        <v>21</v>
      </c>
      <c r="C96" s="49">
        <v>43394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623306217</v>
      </c>
      <c r="P96" s="3">
        <v>412412384.37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623306217</v>
      </c>
      <c r="Z96">
        <v>623306217</v>
      </c>
      <c r="AA96" t="str">
        <f>CashProjTable[Portfolio]&amp;CashProjTable[ProjDate]</f>
        <v>SCBRM143394</v>
      </c>
    </row>
    <row r="97" spans="1:27" x14ac:dyDescent="0.2">
      <c r="A97" t="s">
        <v>386</v>
      </c>
      <c r="B97" t="s">
        <v>21</v>
      </c>
      <c r="C97" s="49">
        <v>43395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623306217</v>
      </c>
      <c r="P97" s="3">
        <v>412412384.37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623306217</v>
      </c>
      <c r="Z97">
        <v>623306217</v>
      </c>
      <c r="AA97" t="str">
        <f>CashProjTable[Portfolio]&amp;CashProjTable[ProjDate]</f>
        <v>SCBRM143395</v>
      </c>
    </row>
    <row r="98" spans="1:27" x14ac:dyDescent="0.2">
      <c r="A98" t="s">
        <v>387</v>
      </c>
      <c r="B98" t="s">
        <v>21</v>
      </c>
      <c r="C98" s="49">
        <v>43378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1759500</v>
      </c>
      <c r="L98">
        <v>0</v>
      </c>
      <c r="M98">
        <v>0</v>
      </c>
      <c r="N98">
        <v>0</v>
      </c>
      <c r="O98">
        <v>0</v>
      </c>
      <c r="P98" s="3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-1759500</v>
      </c>
      <c r="Z98">
        <v>-1759500</v>
      </c>
      <c r="AA98" t="str">
        <f>CashProjTable[Portfolio]&amp;CashProjTable[ProjDate]</f>
        <v>SCBRM243378</v>
      </c>
    </row>
    <row r="99" spans="1:27" x14ac:dyDescent="0.2">
      <c r="A99" t="s">
        <v>387</v>
      </c>
      <c r="B99" t="s">
        <v>21</v>
      </c>
      <c r="C99" s="49">
        <v>43381</v>
      </c>
      <c r="D99">
        <v>26084789.280000001</v>
      </c>
      <c r="E99">
        <v>0</v>
      </c>
      <c r="F99">
        <v>0</v>
      </c>
      <c r="G99">
        <v>0</v>
      </c>
      <c r="H99">
        <v>25000000</v>
      </c>
      <c r="I99">
        <v>0</v>
      </c>
      <c r="J99">
        <v>0</v>
      </c>
      <c r="K99">
        <v>3067950</v>
      </c>
      <c r="L99">
        <v>678492.3</v>
      </c>
      <c r="M99">
        <v>0</v>
      </c>
      <c r="N99">
        <v>3823423.44</v>
      </c>
      <c r="O99">
        <v>6592007.9299999997</v>
      </c>
      <c r="P99" s="3">
        <v>14128950.960000001</v>
      </c>
      <c r="Q99">
        <v>26084789.280000001</v>
      </c>
      <c r="R99">
        <v>0</v>
      </c>
      <c r="S99">
        <v>0</v>
      </c>
      <c r="T99">
        <v>25000000</v>
      </c>
      <c r="U99">
        <v>0</v>
      </c>
      <c r="V99">
        <v>0</v>
      </c>
      <c r="W99">
        <v>1759500</v>
      </c>
      <c r="X99">
        <v>0</v>
      </c>
      <c r="Y99">
        <v>3524057.93</v>
      </c>
      <c r="Z99">
        <v>1764557.93</v>
      </c>
      <c r="AA99" t="str">
        <f>CashProjTable[Portfolio]&amp;CashProjTable[ProjDate]</f>
        <v>SCBRM243381</v>
      </c>
    </row>
    <row r="100" spans="1:27" x14ac:dyDescent="0.2">
      <c r="A100" t="s">
        <v>387</v>
      </c>
      <c r="B100" t="s">
        <v>21</v>
      </c>
      <c r="C100" s="49">
        <v>43382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1074700</v>
      </c>
      <c r="L100">
        <v>3097837.7</v>
      </c>
      <c r="M100">
        <v>15000</v>
      </c>
      <c r="N100">
        <v>3091554.73</v>
      </c>
      <c r="O100">
        <v>1492315.5</v>
      </c>
      <c r="P100" s="3">
        <v>14128950.960000001</v>
      </c>
      <c r="Q100">
        <v>0</v>
      </c>
      <c r="R100">
        <v>0</v>
      </c>
      <c r="S100">
        <v>0</v>
      </c>
      <c r="T100">
        <v>0</v>
      </c>
      <c r="U100">
        <v>1759500</v>
      </c>
      <c r="V100">
        <v>0</v>
      </c>
      <c r="W100">
        <v>3067950</v>
      </c>
      <c r="X100">
        <v>0</v>
      </c>
      <c r="Y100">
        <v>402615.5</v>
      </c>
      <c r="Z100">
        <v>-2665334.5</v>
      </c>
      <c r="AA100" t="str">
        <f>CashProjTable[Portfolio]&amp;CashProjTable[ProjDate]</f>
        <v>SCBRM243382</v>
      </c>
    </row>
    <row r="101" spans="1:27" x14ac:dyDescent="0.2">
      <c r="A101" t="s">
        <v>387</v>
      </c>
      <c r="B101" t="s">
        <v>21</v>
      </c>
      <c r="C101" s="49">
        <v>43383</v>
      </c>
      <c r="D101">
        <v>0</v>
      </c>
      <c r="E101">
        <v>0</v>
      </c>
      <c r="F101">
        <v>2007986.3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3500301.8</v>
      </c>
      <c r="P101" s="3">
        <v>14128950.960000001</v>
      </c>
      <c r="Q101">
        <v>0</v>
      </c>
      <c r="R101">
        <v>0</v>
      </c>
      <c r="S101">
        <v>0</v>
      </c>
      <c r="T101">
        <v>0</v>
      </c>
      <c r="U101">
        <v>3067950</v>
      </c>
      <c r="V101">
        <v>0</v>
      </c>
      <c r="W101">
        <v>1074700</v>
      </c>
      <c r="X101">
        <v>0</v>
      </c>
      <c r="Y101">
        <v>3500301.8</v>
      </c>
      <c r="Z101">
        <v>402615.5</v>
      </c>
      <c r="AA101" t="str">
        <f>CashProjTable[Portfolio]&amp;CashProjTable[ProjDate]</f>
        <v>SCBRM243383</v>
      </c>
    </row>
    <row r="102" spans="1:27" x14ac:dyDescent="0.2">
      <c r="A102" t="s">
        <v>387</v>
      </c>
      <c r="B102" t="s">
        <v>21</v>
      </c>
      <c r="C102" s="49">
        <v>43384</v>
      </c>
      <c r="D102">
        <v>0</v>
      </c>
      <c r="E102">
        <v>74000000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77500301.799999997</v>
      </c>
      <c r="P102" s="3">
        <v>14128950.960000001</v>
      </c>
      <c r="Q102">
        <v>0</v>
      </c>
      <c r="R102">
        <v>74000000</v>
      </c>
      <c r="S102">
        <v>0</v>
      </c>
      <c r="T102">
        <v>0</v>
      </c>
      <c r="U102">
        <v>1074700</v>
      </c>
      <c r="V102">
        <v>0</v>
      </c>
      <c r="W102">
        <v>0</v>
      </c>
      <c r="X102">
        <v>0</v>
      </c>
      <c r="Y102">
        <v>77500301.799999997</v>
      </c>
      <c r="Z102">
        <v>77500301.799999997</v>
      </c>
      <c r="AA102" t="str">
        <f>CashProjTable[Portfolio]&amp;CashProjTable[ProjDate]</f>
        <v>SCBRM243384</v>
      </c>
    </row>
    <row r="103" spans="1:27" x14ac:dyDescent="0.2">
      <c r="A103" t="s">
        <v>387</v>
      </c>
      <c r="B103" t="s">
        <v>21</v>
      </c>
      <c r="C103" s="49">
        <v>43385</v>
      </c>
      <c r="D103">
        <v>0</v>
      </c>
      <c r="E103">
        <v>0</v>
      </c>
      <c r="F103">
        <v>857492.88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78357794.680000007</v>
      </c>
      <c r="P103" s="3">
        <v>14128950.960000001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78357794.680000007</v>
      </c>
      <c r="Z103">
        <v>77500301.799999997</v>
      </c>
      <c r="AA103" t="str">
        <f>CashProjTable[Portfolio]&amp;CashProjTable[ProjDate]</f>
        <v>SCBRM243385</v>
      </c>
    </row>
    <row r="104" spans="1:27" x14ac:dyDescent="0.2">
      <c r="A104" t="s">
        <v>387</v>
      </c>
      <c r="B104" t="s">
        <v>21</v>
      </c>
      <c r="C104" s="49">
        <v>43386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78357794.680000007</v>
      </c>
      <c r="P104" s="3">
        <v>14128950.960000001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78357794.680000007</v>
      </c>
      <c r="Z104">
        <v>78357794.680000007</v>
      </c>
      <c r="AA104" t="str">
        <f>CashProjTable[Portfolio]&amp;CashProjTable[ProjDate]</f>
        <v>SCBRM243386</v>
      </c>
    </row>
    <row r="105" spans="1:27" x14ac:dyDescent="0.2">
      <c r="A105" t="s">
        <v>387</v>
      </c>
      <c r="B105" t="s">
        <v>21</v>
      </c>
      <c r="C105" s="49">
        <v>43387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78357794.680000007</v>
      </c>
      <c r="P105" s="3">
        <v>14128950.960000001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78357794.680000007</v>
      </c>
      <c r="Z105">
        <v>78357794.680000007</v>
      </c>
      <c r="AA105" t="str">
        <f>CashProjTable[Portfolio]&amp;CashProjTable[ProjDate]</f>
        <v>SCBRM243387</v>
      </c>
    </row>
    <row r="106" spans="1:27" x14ac:dyDescent="0.2">
      <c r="A106" t="s">
        <v>387</v>
      </c>
      <c r="B106" t="s">
        <v>21</v>
      </c>
      <c r="C106" s="49">
        <v>43388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78357794.680000007</v>
      </c>
      <c r="P106" s="3">
        <v>14128950.960000001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78357794.680000007</v>
      </c>
      <c r="Z106">
        <v>78357794.680000007</v>
      </c>
      <c r="AA106" t="str">
        <f>CashProjTable[Portfolio]&amp;CashProjTable[ProjDate]</f>
        <v>SCBRM243388</v>
      </c>
    </row>
    <row r="107" spans="1:27" x14ac:dyDescent="0.2">
      <c r="A107" t="s">
        <v>387</v>
      </c>
      <c r="B107" t="s">
        <v>21</v>
      </c>
      <c r="C107" s="49">
        <v>43389</v>
      </c>
      <c r="D107">
        <v>0</v>
      </c>
      <c r="E107">
        <v>150000000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228357794.68000001</v>
      </c>
      <c r="P107" s="3">
        <v>14128950.960000001</v>
      </c>
      <c r="Q107">
        <v>0</v>
      </c>
      <c r="R107">
        <v>150000000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228357794.68000001</v>
      </c>
      <c r="Z107">
        <v>228357794.68000001</v>
      </c>
      <c r="AA107" t="str">
        <f>CashProjTable[Portfolio]&amp;CashProjTable[ProjDate]</f>
        <v>SCBRM243389</v>
      </c>
    </row>
    <row r="108" spans="1:27" x14ac:dyDescent="0.2">
      <c r="A108" t="s">
        <v>387</v>
      </c>
      <c r="B108" t="s">
        <v>21</v>
      </c>
      <c r="C108" s="49">
        <v>43390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228357794.68000001</v>
      </c>
      <c r="P108" s="3">
        <v>14128950.960000001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228357794.68000001</v>
      </c>
      <c r="Z108">
        <v>228357794.68000001</v>
      </c>
      <c r="AA108" t="str">
        <f>CashProjTable[Portfolio]&amp;CashProjTable[ProjDate]</f>
        <v>SCBRM243390</v>
      </c>
    </row>
    <row r="109" spans="1:27" x14ac:dyDescent="0.2">
      <c r="A109" t="s">
        <v>387</v>
      </c>
      <c r="B109" t="s">
        <v>21</v>
      </c>
      <c r="C109" s="49">
        <v>43391</v>
      </c>
      <c r="D109">
        <v>0</v>
      </c>
      <c r="E109">
        <v>60000000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288357794.68000001</v>
      </c>
      <c r="P109" s="3">
        <v>14128950.960000001</v>
      </c>
      <c r="Q109">
        <v>0</v>
      </c>
      <c r="R109">
        <v>60000000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288357794.68000001</v>
      </c>
      <c r="Z109">
        <v>288357794.68000001</v>
      </c>
      <c r="AA109" t="str">
        <f>CashProjTable[Portfolio]&amp;CashProjTable[ProjDate]</f>
        <v>SCBRM243391</v>
      </c>
    </row>
    <row r="110" spans="1:27" x14ac:dyDescent="0.2">
      <c r="A110" t="s">
        <v>387</v>
      </c>
      <c r="B110" t="s">
        <v>21</v>
      </c>
      <c r="C110" s="49">
        <v>43392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288357794.68000001</v>
      </c>
      <c r="P110" s="3">
        <v>14128950.960000001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288357794.68000001</v>
      </c>
      <c r="Z110">
        <v>288357794.68000001</v>
      </c>
      <c r="AA110" t="str">
        <f>CashProjTable[Portfolio]&amp;CashProjTable[ProjDate]</f>
        <v>SCBRM243392</v>
      </c>
    </row>
    <row r="111" spans="1:27" x14ac:dyDescent="0.2">
      <c r="A111" t="s">
        <v>387</v>
      </c>
      <c r="B111" t="s">
        <v>21</v>
      </c>
      <c r="C111" s="49">
        <v>43393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288357794.68000001</v>
      </c>
      <c r="P111" s="3">
        <v>14128950.960000001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288357794.68000001</v>
      </c>
      <c r="Z111">
        <v>288357794.68000001</v>
      </c>
      <c r="AA111" t="str">
        <f>CashProjTable[Portfolio]&amp;CashProjTable[ProjDate]</f>
        <v>SCBRM243393</v>
      </c>
    </row>
    <row r="112" spans="1:27" x14ac:dyDescent="0.2">
      <c r="A112" t="s">
        <v>387</v>
      </c>
      <c r="B112" t="s">
        <v>21</v>
      </c>
      <c r="C112" s="49">
        <v>43394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288357794.68000001</v>
      </c>
      <c r="P112" s="3">
        <v>14128950.960000001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288357794.68000001</v>
      </c>
      <c r="Z112">
        <v>288357794.68000001</v>
      </c>
      <c r="AA112" t="str">
        <f>CashProjTable[Portfolio]&amp;CashProjTable[ProjDate]</f>
        <v>SCBRM243394</v>
      </c>
    </row>
    <row r="113" spans="1:27" x14ac:dyDescent="0.2">
      <c r="A113" t="s">
        <v>387</v>
      </c>
      <c r="B113" t="s">
        <v>21</v>
      </c>
      <c r="C113" s="49">
        <v>43395</v>
      </c>
      <c r="D113">
        <v>0</v>
      </c>
      <c r="E113">
        <v>0</v>
      </c>
      <c r="F113">
        <v>1582824.66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289940619.33999997</v>
      </c>
      <c r="P113" s="3">
        <v>14128950.960000001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289940619.33999997</v>
      </c>
      <c r="Z113">
        <v>288357794.68000001</v>
      </c>
      <c r="AA113" t="str">
        <f>CashProjTable[Portfolio]&amp;CashProjTable[ProjDate]</f>
        <v>SCBRM243395</v>
      </c>
    </row>
    <row r="114" spans="1:27" x14ac:dyDescent="0.2">
      <c r="A114" t="s">
        <v>383</v>
      </c>
      <c r="B114" t="s">
        <v>149</v>
      </c>
      <c r="C114" s="49">
        <v>43378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2172546.2000000002</v>
      </c>
      <c r="L114">
        <v>0</v>
      </c>
      <c r="M114">
        <v>0</v>
      </c>
      <c r="N114">
        <v>0</v>
      </c>
      <c r="O114">
        <v>0</v>
      </c>
      <c r="P114" s="3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-2172546.2000000002</v>
      </c>
      <c r="Z114">
        <v>-2172546.2000000002</v>
      </c>
      <c r="AA114" t="str">
        <f>CashProjTable[Portfolio]&amp;CashProjTable[ProjDate]</f>
        <v>SCBFPFUND43378</v>
      </c>
    </row>
    <row r="115" spans="1:27" x14ac:dyDescent="0.2">
      <c r="A115" t="s">
        <v>383</v>
      </c>
      <c r="B115" t="s">
        <v>149</v>
      </c>
      <c r="C115" s="49">
        <v>43381</v>
      </c>
      <c r="D115">
        <v>281498350.98000002</v>
      </c>
      <c r="E115">
        <v>447205455</v>
      </c>
      <c r="F115">
        <v>2293923.89</v>
      </c>
      <c r="G115">
        <v>0</v>
      </c>
      <c r="H115">
        <v>10000000</v>
      </c>
      <c r="I115">
        <v>0</v>
      </c>
      <c r="J115">
        <v>0</v>
      </c>
      <c r="K115">
        <v>8973071.4900000002</v>
      </c>
      <c r="L115">
        <v>83326493.489999995</v>
      </c>
      <c r="M115">
        <v>0</v>
      </c>
      <c r="N115">
        <v>102733155.20999999</v>
      </c>
      <c r="O115">
        <v>12733576.08</v>
      </c>
      <c r="P115" s="3">
        <v>254788221579.07001</v>
      </c>
      <c r="Q115">
        <v>281498350.98000002</v>
      </c>
      <c r="R115">
        <v>447205455</v>
      </c>
      <c r="S115">
        <v>0</v>
      </c>
      <c r="T115">
        <v>10000000</v>
      </c>
      <c r="U115">
        <v>0</v>
      </c>
      <c r="V115">
        <v>0</v>
      </c>
      <c r="W115">
        <v>2172546.2000000002</v>
      </c>
      <c r="X115">
        <v>0</v>
      </c>
      <c r="Y115">
        <v>3760504.59</v>
      </c>
      <c r="Z115">
        <v>-705965.5</v>
      </c>
      <c r="AA115" t="str">
        <f>CashProjTable[Portfolio]&amp;CashProjTable[ProjDate]</f>
        <v>SCBFPFUND43381</v>
      </c>
    </row>
    <row r="116" spans="1:27" x14ac:dyDescent="0.2">
      <c r="A116" t="s">
        <v>383</v>
      </c>
      <c r="B116" t="s">
        <v>149</v>
      </c>
      <c r="C116" s="49">
        <v>43382</v>
      </c>
      <c r="D116">
        <v>0</v>
      </c>
      <c r="E116">
        <v>118263848.15000001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130997424.23</v>
      </c>
      <c r="P116" s="3">
        <v>254788221579.07001</v>
      </c>
      <c r="Q116">
        <v>0</v>
      </c>
      <c r="R116">
        <v>118263848.15000001</v>
      </c>
      <c r="S116">
        <v>0</v>
      </c>
      <c r="T116">
        <v>0</v>
      </c>
      <c r="U116">
        <v>2172546.2000000002</v>
      </c>
      <c r="V116">
        <v>0</v>
      </c>
      <c r="W116">
        <v>8973071.4900000002</v>
      </c>
      <c r="X116">
        <v>0</v>
      </c>
      <c r="Y116">
        <v>130997424.23</v>
      </c>
      <c r="Z116">
        <v>122024352.73999999</v>
      </c>
      <c r="AA116" t="str">
        <f>CashProjTable[Portfolio]&amp;CashProjTable[ProjDate]</f>
        <v>SCBFPFUND43382</v>
      </c>
    </row>
    <row r="117" spans="1:27" x14ac:dyDescent="0.2">
      <c r="A117" t="s">
        <v>383</v>
      </c>
      <c r="B117" t="s">
        <v>149</v>
      </c>
      <c r="C117" s="49">
        <v>43383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130997424.23</v>
      </c>
      <c r="P117" s="3">
        <v>254788221579.07001</v>
      </c>
      <c r="Q117">
        <v>0</v>
      </c>
      <c r="R117">
        <v>0</v>
      </c>
      <c r="S117">
        <v>0</v>
      </c>
      <c r="T117">
        <v>0</v>
      </c>
      <c r="U117">
        <v>8973071.4900000002</v>
      </c>
      <c r="V117">
        <v>0</v>
      </c>
      <c r="W117">
        <v>0</v>
      </c>
      <c r="X117">
        <v>0</v>
      </c>
      <c r="Y117">
        <v>130997424.23</v>
      </c>
      <c r="Z117">
        <v>130997424.23</v>
      </c>
      <c r="AA117" t="str">
        <f>CashProjTable[Portfolio]&amp;CashProjTable[ProjDate]</f>
        <v>SCBFPFUND43383</v>
      </c>
    </row>
    <row r="118" spans="1:27" x14ac:dyDescent="0.2">
      <c r="A118" t="s">
        <v>383</v>
      </c>
      <c r="B118" t="s">
        <v>149</v>
      </c>
      <c r="C118" s="49">
        <v>43384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130997424.23</v>
      </c>
      <c r="P118" s="3">
        <v>254788221579.07001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130997424.23</v>
      </c>
      <c r="Z118">
        <v>130997424.23</v>
      </c>
      <c r="AA118" t="str">
        <f>CashProjTable[Portfolio]&amp;CashProjTable[ProjDate]</f>
        <v>SCBFPFUND43384</v>
      </c>
    </row>
    <row r="119" spans="1:27" x14ac:dyDescent="0.2">
      <c r="A119" t="s">
        <v>383</v>
      </c>
      <c r="B119" t="s">
        <v>149</v>
      </c>
      <c r="C119" s="49">
        <v>43385</v>
      </c>
      <c r="D119">
        <v>0</v>
      </c>
      <c r="E119">
        <v>0</v>
      </c>
      <c r="F119">
        <v>2795738.63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133793162.86</v>
      </c>
      <c r="P119" s="3">
        <v>254788221579.07001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133793162.86</v>
      </c>
      <c r="Z119">
        <v>130997424.23</v>
      </c>
      <c r="AA119" t="str">
        <f>CashProjTable[Portfolio]&amp;CashProjTable[ProjDate]</f>
        <v>SCBFPFUND43385</v>
      </c>
    </row>
    <row r="120" spans="1:27" x14ac:dyDescent="0.2">
      <c r="A120" t="s">
        <v>383</v>
      </c>
      <c r="B120" t="s">
        <v>149</v>
      </c>
      <c r="C120" s="49">
        <v>43386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133793162.86</v>
      </c>
      <c r="P120" s="3">
        <v>254788221579.07001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133793162.86</v>
      </c>
      <c r="Z120">
        <v>133793162.86</v>
      </c>
      <c r="AA120" t="str">
        <f>CashProjTable[Portfolio]&amp;CashProjTable[ProjDate]</f>
        <v>SCBFPFUND43386</v>
      </c>
    </row>
    <row r="121" spans="1:27" x14ac:dyDescent="0.2">
      <c r="A121" t="s">
        <v>383</v>
      </c>
      <c r="B121" t="s">
        <v>149</v>
      </c>
      <c r="C121" s="49">
        <v>43387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133793162.86</v>
      </c>
      <c r="P121" s="3">
        <v>254788221579.07001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133793162.86</v>
      </c>
      <c r="Z121">
        <v>133793162.86</v>
      </c>
      <c r="AA121" t="str">
        <f>CashProjTable[Portfolio]&amp;CashProjTable[ProjDate]</f>
        <v>SCBFPFUND43387</v>
      </c>
    </row>
    <row r="122" spans="1:27" x14ac:dyDescent="0.2">
      <c r="A122" t="s">
        <v>383</v>
      </c>
      <c r="B122" t="s">
        <v>149</v>
      </c>
      <c r="C122" s="49">
        <v>43388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133793162.86</v>
      </c>
      <c r="P122" s="3">
        <v>254788221579.07001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133793162.86</v>
      </c>
      <c r="Z122">
        <v>133793162.86</v>
      </c>
      <c r="AA122" t="str">
        <f>CashProjTable[Portfolio]&amp;CashProjTable[ProjDate]</f>
        <v>SCBFPFUND43388</v>
      </c>
    </row>
    <row r="123" spans="1:27" x14ac:dyDescent="0.2">
      <c r="A123" t="s">
        <v>383</v>
      </c>
      <c r="B123" t="s">
        <v>149</v>
      </c>
      <c r="C123" s="49">
        <v>43389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133793162.86</v>
      </c>
      <c r="P123" s="3">
        <v>254788221579.07001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133793162.86</v>
      </c>
      <c r="Z123">
        <v>133793162.86</v>
      </c>
      <c r="AA123" t="str">
        <f>CashProjTable[Portfolio]&amp;CashProjTable[ProjDate]</f>
        <v>SCBFPFUND43389</v>
      </c>
    </row>
    <row r="124" spans="1:27" x14ac:dyDescent="0.2">
      <c r="A124" t="s">
        <v>383</v>
      </c>
      <c r="B124" t="s">
        <v>149</v>
      </c>
      <c r="C124" s="49">
        <v>43390</v>
      </c>
      <c r="D124">
        <v>0</v>
      </c>
      <c r="E124">
        <v>0</v>
      </c>
      <c r="F124">
        <v>503375.34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134296538.19999999</v>
      </c>
      <c r="P124" s="3">
        <v>254788221579.07001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134296538.19999999</v>
      </c>
      <c r="Z124">
        <v>133793162.86</v>
      </c>
      <c r="AA124" t="str">
        <f>CashProjTable[Portfolio]&amp;CashProjTable[ProjDate]</f>
        <v>SCBFPFUND43390</v>
      </c>
    </row>
    <row r="125" spans="1:27" x14ac:dyDescent="0.2">
      <c r="A125" t="s">
        <v>383</v>
      </c>
      <c r="B125" t="s">
        <v>149</v>
      </c>
      <c r="C125" s="49">
        <v>43391</v>
      </c>
      <c r="D125">
        <v>0</v>
      </c>
      <c r="E125">
        <v>692000000</v>
      </c>
      <c r="F125">
        <v>5385013.7000000002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831681551.89999998</v>
      </c>
      <c r="P125" s="3">
        <v>254788221579.07001</v>
      </c>
      <c r="Q125">
        <v>0</v>
      </c>
      <c r="R125">
        <v>692000000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831681551.89999998</v>
      </c>
      <c r="Z125">
        <v>826296538.20000005</v>
      </c>
      <c r="AA125" t="str">
        <f>CashProjTable[Portfolio]&amp;CashProjTable[ProjDate]</f>
        <v>SCBFPFUND43391</v>
      </c>
    </row>
    <row r="126" spans="1:27" x14ac:dyDescent="0.2">
      <c r="A126" t="s">
        <v>383</v>
      </c>
      <c r="B126" t="s">
        <v>149</v>
      </c>
      <c r="C126" s="49">
        <v>43392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831681551.89999998</v>
      </c>
      <c r="P126" s="3">
        <v>254788221579.07001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831681551.89999998</v>
      </c>
      <c r="Z126">
        <v>831681551.89999998</v>
      </c>
      <c r="AA126" t="str">
        <f>CashProjTable[Portfolio]&amp;CashProjTable[ProjDate]</f>
        <v>SCBFPFUND43392</v>
      </c>
    </row>
    <row r="127" spans="1:27" x14ac:dyDescent="0.2">
      <c r="A127" t="s">
        <v>383</v>
      </c>
      <c r="B127" t="s">
        <v>149</v>
      </c>
      <c r="C127" s="49">
        <v>43393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831681551.89999998</v>
      </c>
      <c r="P127" s="3">
        <v>254788221579.07001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831681551.89999998</v>
      </c>
      <c r="Z127">
        <v>831681551.89999998</v>
      </c>
      <c r="AA127" t="str">
        <f>CashProjTable[Portfolio]&amp;CashProjTable[ProjDate]</f>
        <v>SCBFPFUND43393</v>
      </c>
    </row>
    <row r="128" spans="1:27" x14ac:dyDescent="0.2">
      <c r="A128" t="s">
        <v>383</v>
      </c>
      <c r="B128" t="s">
        <v>149</v>
      </c>
      <c r="C128" s="49">
        <v>43394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831681551.89999998</v>
      </c>
      <c r="P128" s="3">
        <v>254788221579.07001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831681551.89999998</v>
      </c>
      <c r="Z128">
        <v>831681551.89999998</v>
      </c>
      <c r="AA128" t="str">
        <f>CashProjTable[Portfolio]&amp;CashProjTable[ProjDate]</f>
        <v>SCBFPFUND43394</v>
      </c>
    </row>
    <row r="129" spans="1:27" x14ac:dyDescent="0.2">
      <c r="A129" t="s">
        <v>383</v>
      </c>
      <c r="B129" t="s">
        <v>149</v>
      </c>
      <c r="C129" s="49">
        <v>43395</v>
      </c>
      <c r="D129">
        <v>0</v>
      </c>
      <c r="E129">
        <v>0</v>
      </c>
      <c r="F129">
        <v>3480008.22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835161560.12</v>
      </c>
      <c r="P129" s="3">
        <v>254788221579.07001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835161560.12</v>
      </c>
      <c r="Z129">
        <v>831681551.89999998</v>
      </c>
      <c r="AA129" t="str">
        <f>CashProjTable[Portfolio]&amp;CashProjTable[ProjDate]</f>
        <v>SCBFPFUND43395</v>
      </c>
    </row>
    <row r="130" spans="1:27" x14ac:dyDescent="0.2">
      <c r="A130" t="s">
        <v>384</v>
      </c>
      <c r="B130" t="s">
        <v>149</v>
      </c>
      <c r="C130" s="49">
        <v>43378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12057499.710000001</v>
      </c>
      <c r="L130">
        <v>0</v>
      </c>
      <c r="M130">
        <v>20784311.600000001</v>
      </c>
      <c r="N130">
        <v>0</v>
      </c>
      <c r="O130">
        <v>0</v>
      </c>
      <c r="P130" s="3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-32841811.309999999</v>
      </c>
      <c r="Z130">
        <v>-32841811.309999999</v>
      </c>
      <c r="AA130" t="str">
        <f>CashProjTable[Portfolio]&amp;CashProjTable[ProjDate]</f>
        <v>SCBPLUS43378</v>
      </c>
    </row>
    <row r="131" spans="1:27" x14ac:dyDescent="0.2">
      <c r="A131" t="s">
        <v>384</v>
      </c>
      <c r="B131" t="s">
        <v>149</v>
      </c>
      <c r="C131" s="49">
        <v>43381</v>
      </c>
      <c r="D131">
        <v>0</v>
      </c>
      <c r="E131">
        <v>0</v>
      </c>
      <c r="F131">
        <v>2248643.85</v>
      </c>
      <c r="G131">
        <v>30000000</v>
      </c>
      <c r="H131">
        <v>0</v>
      </c>
      <c r="I131">
        <v>0</v>
      </c>
      <c r="J131">
        <v>0</v>
      </c>
      <c r="K131">
        <v>4015517.27</v>
      </c>
      <c r="L131">
        <v>0</v>
      </c>
      <c r="M131">
        <v>7779390.9500000002</v>
      </c>
      <c r="N131">
        <v>0</v>
      </c>
      <c r="O131">
        <v>4534915.28</v>
      </c>
      <c r="P131" s="3">
        <v>27781593343.599998</v>
      </c>
      <c r="Q131">
        <v>0</v>
      </c>
      <c r="R131">
        <v>0</v>
      </c>
      <c r="S131">
        <v>30000000</v>
      </c>
      <c r="T131">
        <v>0</v>
      </c>
      <c r="U131">
        <v>0</v>
      </c>
      <c r="V131">
        <v>0</v>
      </c>
      <c r="W131">
        <v>12057499.710000001</v>
      </c>
      <c r="X131">
        <v>0</v>
      </c>
      <c r="Y131">
        <v>-7259992.9400000004</v>
      </c>
      <c r="Z131">
        <v>-21566136.5</v>
      </c>
      <c r="AA131" t="str">
        <f>CashProjTable[Portfolio]&amp;CashProjTable[ProjDate]</f>
        <v>SCBPLUS43381</v>
      </c>
    </row>
    <row r="132" spans="1:27" x14ac:dyDescent="0.2">
      <c r="A132" t="s">
        <v>384</v>
      </c>
      <c r="B132" t="s">
        <v>149</v>
      </c>
      <c r="C132" s="49">
        <v>43382</v>
      </c>
      <c r="D132">
        <v>119944053.59999999</v>
      </c>
      <c r="E132">
        <v>36000000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7028005</v>
      </c>
      <c r="L132">
        <v>0</v>
      </c>
      <c r="M132">
        <v>2084940.57</v>
      </c>
      <c r="N132">
        <v>0</v>
      </c>
      <c r="O132">
        <v>-70296192.75</v>
      </c>
      <c r="P132" s="3">
        <v>27781593343.599998</v>
      </c>
      <c r="Q132">
        <v>119944053.59999999</v>
      </c>
      <c r="R132">
        <v>36000000</v>
      </c>
      <c r="S132">
        <v>0</v>
      </c>
      <c r="T132">
        <v>0</v>
      </c>
      <c r="U132">
        <v>12057499.710000001</v>
      </c>
      <c r="V132">
        <v>0</v>
      </c>
      <c r="W132">
        <v>4015517.27</v>
      </c>
      <c r="X132">
        <v>0</v>
      </c>
      <c r="Y132">
        <v>-79409138.319999993</v>
      </c>
      <c r="Z132">
        <v>-83424655.590000004</v>
      </c>
      <c r="AA132" t="str">
        <f>CashProjTable[Portfolio]&amp;CashProjTable[ProjDate]</f>
        <v>SCBPLUS43382</v>
      </c>
    </row>
    <row r="133" spans="1:27" x14ac:dyDescent="0.2">
      <c r="A133" t="s">
        <v>384</v>
      </c>
      <c r="B133" t="s">
        <v>149</v>
      </c>
      <c r="C133" s="49">
        <v>43383</v>
      </c>
      <c r="D133">
        <v>1127088.68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-71423281.430000007</v>
      </c>
      <c r="P133" s="3">
        <v>27781593343.599998</v>
      </c>
      <c r="Q133">
        <v>1127088.68</v>
      </c>
      <c r="R133">
        <v>0</v>
      </c>
      <c r="S133">
        <v>0</v>
      </c>
      <c r="T133">
        <v>0</v>
      </c>
      <c r="U133">
        <v>4015517.27</v>
      </c>
      <c r="V133">
        <v>0</v>
      </c>
      <c r="W133">
        <v>7028005</v>
      </c>
      <c r="X133">
        <v>0</v>
      </c>
      <c r="Y133">
        <v>-71423281.430000007</v>
      </c>
      <c r="Z133">
        <v>-78451286.430000007</v>
      </c>
      <c r="AA133" t="str">
        <f>CashProjTable[Portfolio]&amp;CashProjTable[ProjDate]</f>
        <v>SCBPLUS43383</v>
      </c>
    </row>
    <row r="134" spans="1:27" x14ac:dyDescent="0.2">
      <c r="A134" t="s">
        <v>384</v>
      </c>
      <c r="B134" t="s">
        <v>149</v>
      </c>
      <c r="C134" s="49">
        <v>43384</v>
      </c>
      <c r="D134">
        <v>0</v>
      </c>
      <c r="E134">
        <v>343127200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271703918.56999999</v>
      </c>
      <c r="P134" s="3">
        <v>27781593343.599998</v>
      </c>
      <c r="Q134">
        <v>0</v>
      </c>
      <c r="R134">
        <v>343127200</v>
      </c>
      <c r="S134">
        <v>0</v>
      </c>
      <c r="T134">
        <v>0</v>
      </c>
      <c r="U134">
        <v>7028005</v>
      </c>
      <c r="V134">
        <v>0</v>
      </c>
      <c r="W134">
        <v>0</v>
      </c>
      <c r="X134">
        <v>0</v>
      </c>
      <c r="Y134">
        <v>271703918.56999999</v>
      </c>
      <c r="Z134">
        <v>271703918.56999999</v>
      </c>
      <c r="AA134" t="str">
        <f>CashProjTable[Portfolio]&amp;CashProjTable[ProjDate]</f>
        <v>SCBPLUS43384</v>
      </c>
    </row>
    <row r="135" spans="1:27" x14ac:dyDescent="0.2">
      <c r="A135" t="s">
        <v>384</v>
      </c>
      <c r="B135" t="s">
        <v>149</v>
      </c>
      <c r="C135" s="49">
        <v>43385</v>
      </c>
      <c r="D135">
        <v>0</v>
      </c>
      <c r="E135">
        <v>0</v>
      </c>
      <c r="F135">
        <v>12723563.84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284427482.41000003</v>
      </c>
      <c r="P135" s="3">
        <v>27781593343.599998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284427482.41000003</v>
      </c>
      <c r="Z135">
        <v>271703918.56999999</v>
      </c>
      <c r="AA135" t="str">
        <f>CashProjTable[Portfolio]&amp;CashProjTable[ProjDate]</f>
        <v>SCBPLUS43385</v>
      </c>
    </row>
    <row r="136" spans="1:27" x14ac:dyDescent="0.2">
      <c r="A136" t="s">
        <v>384</v>
      </c>
      <c r="B136" t="s">
        <v>149</v>
      </c>
      <c r="C136" s="49">
        <v>43386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284427482.41000003</v>
      </c>
      <c r="P136" s="3">
        <v>27781593343.599998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284427482.41000003</v>
      </c>
      <c r="Z136">
        <v>284427482.41000003</v>
      </c>
      <c r="AA136" t="str">
        <f>CashProjTable[Portfolio]&amp;CashProjTable[ProjDate]</f>
        <v>SCBPLUS43386</v>
      </c>
    </row>
    <row r="137" spans="1:27" x14ac:dyDescent="0.2">
      <c r="A137" t="s">
        <v>384</v>
      </c>
      <c r="B137" t="s">
        <v>149</v>
      </c>
      <c r="C137" s="49">
        <v>43387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284427482.41000003</v>
      </c>
      <c r="P137" s="3">
        <v>27781593343.599998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284427482.41000003</v>
      </c>
      <c r="Z137">
        <v>284427482.41000003</v>
      </c>
      <c r="AA137" t="str">
        <f>CashProjTable[Portfolio]&amp;CashProjTable[ProjDate]</f>
        <v>SCBPLUS43387</v>
      </c>
    </row>
    <row r="138" spans="1:27" x14ac:dyDescent="0.2">
      <c r="A138" t="s">
        <v>384</v>
      </c>
      <c r="B138" t="s">
        <v>149</v>
      </c>
      <c r="C138" s="49">
        <v>43388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284427482.41000003</v>
      </c>
      <c r="P138" s="3">
        <v>27781593343.599998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284427482.41000003</v>
      </c>
      <c r="Z138">
        <v>284427482.41000003</v>
      </c>
      <c r="AA138" t="str">
        <f>CashProjTable[Portfolio]&amp;CashProjTable[ProjDate]</f>
        <v>SCBPLUS43388</v>
      </c>
    </row>
    <row r="139" spans="1:27" x14ac:dyDescent="0.2">
      <c r="A139" t="s">
        <v>384</v>
      </c>
      <c r="B139" t="s">
        <v>149</v>
      </c>
      <c r="C139" s="49">
        <v>43389</v>
      </c>
      <c r="D139">
        <v>0</v>
      </c>
      <c r="E139">
        <v>50000000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334427482.41000003</v>
      </c>
      <c r="P139" s="3">
        <v>27781593343.599998</v>
      </c>
      <c r="Q139">
        <v>0</v>
      </c>
      <c r="R139">
        <v>50000000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334427482.41000003</v>
      </c>
      <c r="Z139">
        <v>334427482.41000003</v>
      </c>
      <c r="AA139" t="str">
        <f>CashProjTable[Portfolio]&amp;CashProjTable[ProjDate]</f>
        <v>SCBPLUS43389</v>
      </c>
    </row>
    <row r="140" spans="1:27" x14ac:dyDescent="0.2">
      <c r="A140" t="s">
        <v>384</v>
      </c>
      <c r="B140" t="s">
        <v>149</v>
      </c>
      <c r="C140" s="49">
        <v>43390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334427482.41000003</v>
      </c>
      <c r="P140" s="3">
        <v>27781593343.599998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334427482.41000003</v>
      </c>
      <c r="Z140">
        <v>334427482.41000003</v>
      </c>
      <c r="AA140" t="str">
        <f>CashProjTable[Portfolio]&amp;CashProjTable[ProjDate]</f>
        <v>SCBPLUS43390</v>
      </c>
    </row>
    <row r="141" spans="1:27" x14ac:dyDescent="0.2">
      <c r="A141" t="s">
        <v>384</v>
      </c>
      <c r="B141" t="s">
        <v>149</v>
      </c>
      <c r="C141" s="49">
        <v>43391</v>
      </c>
      <c r="D141">
        <v>0</v>
      </c>
      <c r="E141">
        <v>269000000</v>
      </c>
      <c r="F141">
        <v>1954438.36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605381920.76999998</v>
      </c>
      <c r="P141" s="3">
        <v>27781593343.599998</v>
      </c>
      <c r="Q141">
        <v>0</v>
      </c>
      <c r="R141">
        <v>269000000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605381920.76999998</v>
      </c>
      <c r="Z141">
        <v>603427482.40999997</v>
      </c>
      <c r="AA141" t="str">
        <f>CashProjTable[Portfolio]&amp;CashProjTable[ProjDate]</f>
        <v>SCBPLUS43391</v>
      </c>
    </row>
    <row r="142" spans="1:27" x14ac:dyDescent="0.2">
      <c r="A142" t="s">
        <v>384</v>
      </c>
      <c r="B142" t="s">
        <v>149</v>
      </c>
      <c r="C142" s="49">
        <v>43392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605381920.76999998</v>
      </c>
      <c r="P142" s="3">
        <v>27781593343.599998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605381920.76999998</v>
      </c>
      <c r="Z142">
        <v>605381920.76999998</v>
      </c>
      <c r="AA142" t="str">
        <f>CashProjTable[Portfolio]&amp;CashProjTable[ProjDate]</f>
        <v>SCBPLUS43392</v>
      </c>
    </row>
    <row r="143" spans="1:27" x14ac:dyDescent="0.2">
      <c r="A143" t="s">
        <v>384</v>
      </c>
      <c r="B143" t="s">
        <v>149</v>
      </c>
      <c r="C143" s="49">
        <v>43393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605381920.76999998</v>
      </c>
      <c r="P143" s="3">
        <v>27781593343.599998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605381920.76999998</v>
      </c>
      <c r="Z143">
        <v>605381920.76999998</v>
      </c>
      <c r="AA143" t="str">
        <f>CashProjTable[Portfolio]&amp;CashProjTable[ProjDate]</f>
        <v>SCBPLUS43393</v>
      </c>
    </row>
    <row r="144" spans="1:27" x14ac:dyDescent="0.2">
      <c r="A144" t="s">
        <v>384</v>
      </c>
      <c r="B144" t="s">
        <v>149</v>
      </c>
      <c r="C144" s="49">
        <v>43394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605381920.76999998</v>
      </c>
      <c r="P144" s="3">
        <v>27781593343.599998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605381920.76999998</v>
      </c>
      <c r="Z144">
        <v>605381920.76999998</v>
      </c>
      <c r="AA144" t="str">
        <f>CashProjTable[Portfolio]&amp;CashProjTable[ProjDate]</f>
        <v>SCBPLUS43394</v>
      </c>
    </row>
    <row r="145" spans="1:27" x14ac:dyDescent="0.2">
      <c r="A145" t="s">
        <v>384</v>
      </c>
      <c r="B145" t="s">
        <v>149</v>
      </c>
      <c r="C145" s="49">
        <v>43395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605381920.76999998</v>
      </c>
      <c r="P145" s="3">
        <v>27781593343.599998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605381920.76999998</v>
      </c>
      <c r="Z145">
        <v>605381920.76999998</v>
      </c>
      <c r="AA145" t="str">
        <f>CashProjTable[Portfolio]&amp;CashProjTable[ProjDate]</f>
        <v>SCBPLUS43395</v>
      </c>
    </row>
    <row r="146" spans="1:27" x14ac:dyDescent="0.2">
      <c r="A146" t="s">
        <v>382</v>
      </c>
      <c r="B146" t="s">
        <v>149</v>
      </c>
      <c r="C146" s="49">
        <v>43378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451850</v>
      </c>
      <c r="L146">
        <v>0</v>
      </c>
      <c r="M146">
        <v>0</v>
      </c>
      <c r="N146">
        <v>0</v>
      </c>
      <c r="O146">
        <v>0</v>
      </c>
      <c r="P146" s="3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-451850</v>
      </c>
      <c r="Z146">
        <v>-451850</v>
      </c>
      <c r="AA146" t="str">
        <f>CashProjTable[Portfolio]&amp;CashProjTable[ProjDate]</f>
        <v>SCBFIXED43378</v>
      </c>
    </row>
    <row r="147" spans="1:27" x14ac:dyDescent="0.2">
      <c r="A147" t="s">
        <v>382</v>
      </c>
      <c r="B147" t="s">
        <v>149</v>
      </c>
      <c r="C147" s="49">
        <v>43381</v>
      </c>
      <c r="D147">
        <v>0</v>
      </c>
      <c r="E147">
        <v>9994763</v>
      </c>
      <c r="F147">
        <v>615.74</v>
      </c>
      <c r="G147">
        <v>0</v>
      </c>
      <c r="H147">
        <v>0</v>
      </c>
      <c r="I147">
        <v>0</v>
      </c>
      <c r="J147">
        <v>0</v>
      </c>
      <c r="K147">
        <v>20837</v>
      </c>
      <c r="L147">
        <v>5014000</v>
      </c>
      <c r="M147">
        <v>0</v>
      </c>
      <c r="N147">
        <v>6001000.0099999998</v>
      </c>
      <c r="O147">
        <v>2282205.56</v>
      </c>
      <c r="P147" s="3">
        <v>2878450609.5500002</v>
      </c>
      <c r="Q147">
        <v>0</v>
      </c>
      <c r="R147">
        <v>9994763</v>
      </c>
      <c r="S147">
        <v>0</v>
      </c>
      <c r="T147">
        <v>0</v>
      </c>
      <c r="U147">
        <v>0</v>
      </c>
      <c r="V147">
        <v>0</v>
      </c>
      <c r="W147">
        <v>451850</v>
      </c>
      <c r="X147">
        <v>0</v>
      </c>
      <c r="Y147">
        <v>2261368.56</v>
      </c>
      <c r="Z147">
        <v>1808902.82</v>
      </c>
      <c r="AA147" t="str">
        <f>CashProjTable[Portfolio]&amp;CashProjTable[ProjDate]</f>
        <v>SCBFIXED43381</v>
      </c>
    </row>
    <row r="148" spans="1:27" x14ac:dyDescent="0.2">
      <c r="A148" t="s">
        <v>382</v>
      </c>
      <c r="B148" t="s">
        <v>149</v>
      </c>
      <c r="C148" s="49">
        <v>43382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2282205.56</v>
      </c>
      <c r="P148" s="3">
        <v>2878450609.5500002</v>
      </c>
      <c r="Q148">
        <v>0</v>
      </c>
      <c r="R148">
        <v>0</v>
      </c>
      <c r="S148">
        <v>0</v>
      </c>
      <c r="T148">
        <v>0</v>
      </c>
      <c r="U148">
        <v>451850</v>
      </c>
      <c r="V148">
        <v>0</v>
      </c>
      <c r="W148">
        <v>20837</v>
      </c>
      <c r="X148">
        <v>0</v>
      </c>
      <c r="Y148">
        <v>2282205.56</v>
      </c>
      <c r="Z148">
        <v>2261368.56</v>
      </c>
      <c r="AA148" t="str">
        <f>CashProjTable[Portfolio]&amp;CashProjTable[ProjDate]</f>
        <v>SCBFIXED43382</v>
      </c>
    </row>
    <row r="149" spans="1:27" x14ac:dyDescent="0.2">
      <c r="A149" t="s">
        <v>382</v>
      </c>
      <c r="B149" t="s">
        <v>149</v>
      </c>
      <c r="C149" s="49">
        <v>43383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2282205.56</v>
      </c>
      <c r="P149" s="3">
        <v>2878450609.5500002</v>
      </c>
      <c r="Q149">
        <v>0</v>
      </c>
      <c r="R149">
        <v>0</v>
      </c>
      <c r="S149">
        <v>0</v>
      </c>
      <c r="T149">
        <v>0</v>
      </c>
      <c r="U149">
        <v>20837</v>
      </c>
      <c r="V149">
        <v>0</v>
      </c>
      <c r="W149">
        <v>0</v>
      </c>
      <c r="X149">
        <v>0</v>
      </c>
      <c r="Y149">
        <v>2282205.56</v>
      </c>
      <c r="Z149">
        <v>2282205.56</v>
      </c>
      <c r="AA149" t="str">
        <f>CashProjTable[Portfolio]&amp;CashProjTable[ProjDate]</f>
        <v>SCBFIXED43383</v>
      </c>
    </row>
    <row r="150" spans="1:27" x14ac:dyDescent="0.2">
      <c r="A150" t="s">
        <v>382</v>
      </c>
      <c r="B150" t="s">
        <v>149</v>
      </c>
      <c r="C150" s="49">
        <v>43384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2282205.56</v>
      </c>
      <c r="P150" s="3">
        <v>2878450609.5500002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2282205.56</v>
      </c>
      <c r="Z150">
        <v>2282205.56</v>
      </c>
      <c r="AA150" t="str">
        <f>CashProjTable[Portfolio]&amp;CashProjTable[ProjDate]</f>
        <v>SCBFIXED43384</v>
      </c>
    </row>
    <row r="151" spans="1:27" x14ac:dyDescent="0.2">
      <c r="A151" t="s">
        <v>382</v>
      </c>
      <c r="B151" t="s">
        <v>149</v>
      </c>
      <c r="C151" s="49">
        <v>43385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2282205.56</v>
      </c>
      <c r="P151" s="3">
        <v>2878450609.5500002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2282205.56</v>
      </c>
      <c r="Z151">
        <v>2282205.56</v>
      </c>
      <c r="AA151" t="str">
        <f>CashProjTable[Portfolio]&amp;CashProjTable[ProjDate]</f>
        <v>SCBFIXED43385</v>
      </c>
    </row>
    <row r="152" spans="1:27" x14ac:dyDescent="0.2">
      <c r="A152" t="s">
        <v>382</v>
      </c>
      <c r="B152" t="s">
        <v>149</v>
      </c>
      <c r="C152" s="49">
        <v>43386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2282205.56</v>
      </c>
      <c r="P152" s="3">
        <v>2878450609.5500002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2282205.56</v>
      </c>
      <c r="Z152">
        <v>2282205.56</v>
      </c>
      <c r="AA152" t="str">
        <f>CashProjTable[Portfolio]&amp;CashProjTable[ProjDate]</f>
        <v>SCBFIXED43386</v>
      </c>
    </row>
    <row r="153" spans="1:27" x14ac:dyDescent="0.2">
      <c r="A153" t="s">
        <v>382</v>
      </c>
      <c r="B153" t="s">
        <v>149</v>
      </c>
      <c r="C153" s="49">
        <v>43387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2282205.56</v>
      </c>
      <c r="P153" s="3">
        <v>2878450609.5500002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2282205.56</v>
      </c>
      <c r="Z153">
        <v>2282205.56</v>
      </c>
      <c r="AA153" t="str">
        <f>CashProjTable[Portfolio]&amp;CashProjTable[ProjDate]</f>
        <v>SCBFIXED43387</v>
      </c>
    </row>
    <row r="154" spans="1:27" x14ac:dyDescent="0.2">
      <c r="A154" t="s">
        <v>382</v>
      </c>
      <c r="B154" t="s">
        <v>149</v>
      </c>
      <c r="C154" s="49">
        <v>43388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2282205.56</v>
      </c>
      <c r="P154" s="3">
        <v>2878450609.5500002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2282205.56</v>
      </c>
      <c r="Z154">
        <v>2282205.56</v>
      </c>
      <c r="AA154" t="str">
        <f>CashProjTable[Portfolio]&amp;CashProjTable[ProjDate]</f>
        <v>SCBFIXED43388</v>
      </c>
    </row>
    <row r="155" spans="1:27" x14ac:dyDescent="0.2">
      <c r="A155" t="s">
        <v>382</v>
      </c>
      <c r="B155" t="s">
        <v>149</v>
      </c>
      <c r="C155" s="49">
        <v>43389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2282205.56</v>
      </c>
      <c r="P155" s="3">
        <v>2878450609.5500002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2282205.56</v>
      </c>
      <c r="Z155">
        <v>2282205.56</v>
      </c>
      <c r="AA155" t="str">
        <f>CashProjTable[Portfolio]&amp;CashProjTable[ProjDate]</f>
        <v>SCBFIXED43389</v>
      </c>
    </row>
    <row r="156" spans="1:27" x14ac:dyDescent="0.2">
      <c r="A156" t="s">
        <v>382</v>
      </c>
      <c r="B156" t="s">
        <v>149</v>
      </c>
      <c r="C156" s="49">
        <v>43390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2282205.56</v>
      </c>
      <c r="P156" s="3">
        <v>2878450609.5500002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2282205.56</v>
      </c>
      <c r="Z156">
        <v>2282205.56</v>
      </c>
      <c r="AA156" t="str">
        <f>CashProjTable[Portfolio]&amp;CashProjTable[ProjDate]</f>
        <v>SCBFIXED43390</v>
      </c>
    </row>
    <row r="157" spans="1:27" x14ac:dyDescent="0.2">
      <c r="A157" t="s">
        <v>382</v>
      </c>
      <c r="B157" t="s">
        <v>149</v>
      </c>
      <c r="C157" s="49">
        <v>43391</v>
      </c>
      <c r="D157">
        <v>0</v>
      </c>
      <c r="E157">
        <v>65000000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67282205.560000002</v>
      </c>
      <c r="P157" s="3">
        <v>2878450609.5500002</v>
      </c>
      <c r="Q157">
        <v>0</v>
      </c>
      <c r="R157">
        <v>65000000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67282205.560000002</v>
      </c>
      <c r="Z157">
        <v>67282205.560000002</v>
      </c>
      <c r="AA157" t="str">
        <f>CashProjTable[Portfolio]&amp;CashProjTable[ProjDate]</f>
        <v>SCBFIXED43391</v>
      </c>
    </row>
    <row r="158" spans="1:27" x14ac:dyDescent="0.2">
      <c r="A158" t="s">
        <v>382</v>
      </c>
      <c r="B158" t="s">
        <v>149</v>
      </c>
      <c r="C158" s="49">
        <v>43392</v>
      </c>
      <c r="D158">
        <v>0</v>
      </c>
      <c r="E158">
        <v>40000000</v>
      </c>
      <c r="F158">
        <v>601643.84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107883849.40000001</v>
      </c>
      <c r="P158" s="3">
        <v>2878450609.5500002</v>
      </c>
      <c r="Q158">
        <v>0</v>
      </c>
      <c r="R158">
        <v>40000000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107883849.40000001</v>
      </c>
      <c r="Z158">
        <v>107282205.56</v>
      </c>
      <c r="AA158" t="str">
        <f>CashProjTable[Portfolio]&amp;CashProjTable[ProjDate]</f>
        <v>SCBFIXED43392</v>
      </c>
    </row>
    <row r="159" spans="1:27" x14ac:dyDescent="0.2">
      <c r="A159" t="s">
        <v>382</v>
      </c>
      <c r="B159" t="s">
        <v>149</v>
      </c>
      <c r="C159" s="49">
        <v>43393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107883849.40000001</v>
      </c>
      <c r="P159" s="3">
        <v>2878450609.5500002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107883849.40000001</v>
      </c>
      <c r="Z159">
        <v>107883849.40000001</v>
      </c>
      <c r="AA159" t="str">
        <f>CashProjTable[Portfolio]&amp;CashProjTable[ProjDate]</f>
        <v>SCBFIXED43393</v>
      </c>
    </row>
    <row r="160" spans="1:27" x14ac:dyDescent="0.2">
      <c r="A160" t="s">
        <v>382</v>
      </c>
      <c r="B160" t="s">
        <v>149</v>
      </c>
      <c r="C160" s="49">
        <v>43394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107883849.40000001</v>
      </c>
      <c r="P160" s="3">
        <v>2878450609.5500002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107883849.40000001</v>
      </c>
      <c r="Z160">
        <v>107883849.40000001</v>
      </c>
      <c r="AA160" t="str">
        <f>CashProjTable[Portfolio]&amp;CashProjTable[ProjDate]</f>
        <v>SCBFIXED43394</v>
      </c>
    </row>
    <row r="161" spans="1:27" x14ac:dyDescent="0.2">
      <c r="A161" t="s">
        <v>382</v>
      </c>
      <c r="B161" t="s">
        <v>149</v>
      </c>
      <c r="C161" s="49">
        <v>43395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107883849.40000001</v>
      </c>
      <c r="P161" s="3">
        <v>2878450609.5500002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107883849.40000001</v>
      </c>
      <c r="Z161">
        <v>107883849.40000001</v>
      </c>
      <c r="AA161" t="str">
        <f>CashProjTable[Portfolio]&amp;CashProjTable[ProjDate]</f>
        <v>SCBFIXED43395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0F6F6-9638-4B00-921D-1BF7B9831B0D}">
  <sheetPr codeName="Sheet7"/>
  <dimension ref="A1:AG56"/>
  <sheetViews>
    <sheetView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4.25" outlineLevelRow="1" x14ac:dyDescent="0.2"/>
  <cols>
    <col min="1" max="1" width="32" customWidth="1"/>
    <col min="2" max="2" width="17" customWidth="1"/>
    <col min="3" max="27" width="15.125" bestFit="1" customWidth="1"/>
  </cols>
  <sheetData>
    <row r="1" spans="1:33" x14ac:dyDescent="0.2">
      <c r="A1" s="28" t="s">
        <v>391</v>
      </c>
      <c r="C1" s="38"/>
      <c r="D1" t="s">
        <v>439</v>
      </c>
    </row>
    <row r="2" spans="1:33" x14ac:dyDescent="0.2">
      <c r="A2" s="30">
        <f ca="1">[1]!SCBAM_PreviousBusinessDay(TODAY())</f>
        <v>43381</v>
      </c>
      <c r="C2" s="40"/>
      <c r="D2" t="s">
        <v>440</v>
      </c>
    </row>
    <row r="3" spans="1:33" x14ac:dyDescent="0.2">
      <c r="A3" s="29" t="s">
        <v>386</v>
      </c>
      <c r="C3" s="36"/>
      <c r="D3" t="s">
        <v>441</v>
      </c>
    </row>
    <row r="5" spans="1:33" s="11" customFormat="1" x14ac:dyDescent="0.2">
      <c r="A5" s="9" t="s">
        <v>396</v>
      </c>
      <c r="B5" s="34">
        <f ca="1">[1]!SCBAM_NextBusinessDay(A2)</f>
        <v>43382</v>
      </c>
      <c r="C5" s="34">
        <f ca="1">[1]!SCBAM_NextBusinessDay(B5)</f>
        <v>43383</v>
      </c>
      <c r="D5" s="34">
        <f t="shared" ref="D5:AA5" ca="1" si="0">[1]!SCBAM_NextBusinessDay(C5)</f>
        <v>43384</v>
      </c>
      <c r="E5" s="34">
        <f t="shared" ca="1" si="0"/>
        <v>43385</v>
      </c>
      <c r="F5" s="34">
        <f t="shared" ca="1" si="0"/>
        <v>43389</v>
      </c>
      <c r="G5" s="34">
        <f t="shared" ca="1" si="0"/>
        <v>43390</v>
      </c>
      <c r="H5" s="34">
        <f t="shared" ca="1" si="0"/>
        <v>43391</v>
      </c>
      <c r="I5" s="34">
        <f t="shared" ca="1" si="0"/>
        <v>43392</v>
      </c>
      <c r="J5" s="34">
        <f t="shared" ca="1" si="0"/>
        <v>43395</v>
      </c>
      <c r="K5" s="34">
        <f t="shared" ca="1" si="0"/>
        <v>43397</v>
      </c>
      <c r="L5" s="34">
        <f t="shared" ca="1" si="0"/>
        <v>43398</v>
      </c>
      <c r="M5" s="34">
        <f t="shared" ca="1" si="0"/>
        <v>43399</v>
      </c>
      <c r="N5" s="34">
        <f t="shared" ca="1" si="0"/>
        <v>43402</v>
      </c>
      <c r="O5" s="34">
        <f t="shared" ca="1" si="0"/>
        <v>43403</v>
      </c>
      <c r="P5" s="34">
        <f t="shared" ca="1" si="0"/>
        <v>43404</v>
      </c>
      <c r="Q5" s="34">
        <f t="shared" ca="1" si="0"/>
        <v>43405</v>
      </c>
      <c r="R5" s="34">
        <f t="shared" ca="1" si="0"/>
        <v>43406</v>
      </c>
      <c r="S5" s="34">
        <f t="shared" ca="1" si="0"/>
        <v>43409</v>
      </c>
      <c r="T5" s="34">
        <f t="shared" ca="1" si="0"/>
        <v>43410</v>
      </c>
      <c r="U5" s="34">
        <f t="shared" ca="1" si="0"/>
        <v>43411</v>
      </c>
      <c r="V5" s="34">
        <f t="shared" ca="1" si="0"/>
        <v>43412</v>
      </c>
      <c r="W5" s="34">
        <f t="shared" ca="1" si="0"/>
        <v>43413</v>
      </c>
      <c r="X5" s="34">
        <f t="shared" ca="1" si="0"/>
        <v>43416</v>
      </c>
      <c r="Y5" s="34">
        <f t="shared" ca="1" si="0"/>
        <v>43417</v>
      </c>
      <c r="Z5" s="34">
        <f t="shared" ca="1" si="0"/>
        <v>43418</v>
      </c>
      <c r="AA5" s="34">
        <f t="shared" ca="1" si="0"/>
        <v>43419</v>
      </c>
      <c r="AB5" s="10"/>
      <c r="AC5" s="10"/>
      <c r="AD5" s="10"/>
      <c r="AE5" s="10"/>
      <c r="AF5" s="10"/>
      <c r="AG5" s="10"/>
    </row>
    <row r="6" spans="1:33" s="13" customFormat="1" x14ac:dyDescent="0.2">
      <c r="A6" s="12" t="s">
        <v>397</v>
      </c>
    </row>
    <row r="7" spans="1:33" s="8" customFormat="1" x14ac:dyDescent="0.2"/>
    <row r="8" spans="1:33" s="7" customFormat="1" x14ac:dyDescent="0.2">
      <c r="A8" s="14" t="s">
        <v>398</v>
      </c>
    </row>
    <row r="9" spans="1:33" s="41" customFormat="1" x14ac:dyDescent="0.2">
      <c r="A9" s="22" t="s">
        <v>399</v>
      </c>
      <c r="B9" s="43">
        <f ca="1">IF(ISNUMBER(A$5),A$11,[1]!SCBAM_GetSecDtl($A$3,"INVSUOBTrm1",B$5-1,"MarketVal"))</f>
        <v>10310271.09</v>
      </c>
      <c r="C9" s="43">
        <f ca="1">IF(ISNUMBER(B$5),B$11,[1]!SCBAM_GetSecDtl($A$3,"INVSUOBTrm1",C$5-1,"MarketVal"))</f>
        <v>9810271.0899999999</v>
      </c>
      <c r="D9" s="43">
        <f ca="1">IF(ISNUMBER(C$5),C$11,[1]!SCBAM_GetSecDtl($A$3,"INVSUOBTrm1",D$5-1,"MarketVal"))</f>
        <v>9810271.0899999999</v>
      </c>
      <c r="E9" s="43">
        <f ca="1">IF(ISNUMBER(D$5),D$11,[1]!SCBAM_GetSecDtl($A$3,"INVSUOBTrm1",E$5-1,"MarketVal"))</f>
        <v>9810271.0899999999</v>
      </c>
      <c r="F9" s="43">
        <f ca="1">IF(ISNUMBER(E$5),E$11,[1]!SCBAM_GetSecDtl($A$3,"INVSUOBTrm1",F$5-1,"MarketVal"))</f>
        <v>9810271.0899999999</v>
      </c>
      <c r="G9" s="43">
        <f ca="1">IF(ISNUMBER(F$5),F$11,[1]!SCBAM_GetSecDtl($A$3,"INVSUOBTrm1",G$5-1,"MarketVal"))</f>
        <v>9810271.0899999999</v>
      </c>
      <c r="H9" s="43">
        <f ca="1">IF(ISNUMBER(G$5),G$11,[1]!SCBAM_GetSecDtl($A$3,"INVSUOBTrm1",H$5-1,"MarketVal"))</f>
        <v>9810271.0899999999</v>
      </c>
      <c r="I9" s="43">
        <f ca="1">IF(ISNUMBER(H$5),H$11,[1]!SCBAM_GetSecDtl($A$3,"INVSUOBTrm1",I$5-1,"MarketVal"))</f>
        <v>9810271.0899999999</v>
      </c>
      <c r="J9" s="43">
        <f ca="1">IF(ISNUMBER(I$5),I$11,[1]!SCBAM_GetSecDtl($A$3,"INVSUOBTrm1",J$5-1,"MarketVal"))</f>
        <v>9810271.0899999999</v>
      </c>
      <c r="K9" s="43"/>
    </row>
    <row r="10" spans="1:33" s="41" customFormat="1" x14ac:dyDescent="0.2">
      <c r="A10" s="22" t="s">
        <v>400</v>
      </c>
      <c r="B10" s="43">
        <v>-500000</v>
      </c>
      <c r="C10" s="43"/>
      <c r="D10" s="43"/>
      <c r="E10" s="43"/>
      <c r="F10" s="43"/>
      <c r="G10" s="43"/>
      <c r="H10" s="43"/>
      <c r="I10" s="43"/>
      <c r="J10" s="43"/>
      <c r="K10" s="43"/>
    </row>
    <row r="11" spans="1:33" s="42" customFormat="1" ht="15" thickBot="1" x14ac:dyDescent="0.25">
      <c r="A11" s="16" t="s">
        <v>401</v>
      </c>
      <c r="B11" s="44">
        <f ca="1">SUM(B9:B10)</f>
        <v>9810271.0899999999</v>
      </c>
      <c r="C11" s="44">
        <f ca="1">SUM(C9:C10)</f>
        <v>9810271.0899999999</v>
      </c>
      <c r="D11" s="44">
        <f ca="1">SUM(D9:D10)</f>
        <v>9810271.0899999999</v>
      </c>
      <c r="E11" s="44">
        <f t="shared" ref="E11:J11" ca="1" si="1">SUM(E9:E10)</f>
        <v>9810271.0899999999</v>
      </c>
      <c r="F11" s="44">
        <f t="shared" ca="1" si="1"/>
        <v>9810271.0899999999</v>
      </c>
      <c r="G11" s="44">
        <f t="shared" ca="1" si="1"/>
        <v>9810271.0899999999</v>
      </c>
      <c r="H11" s="44">
        <f t="shared" ca="1" si="1"/>
        <v>9810271.0899999999</v>
      </c>
      <c r="I11" s="44">
        <f t="shared" ca="1" si="1"/>
        <v>9810271.0899999999</v>
      </c>
      <c r="J11" s="44">
        <f t="shared" ca="1" si="1"/>
        <v>9810271.0899999999</v>
      </c>
      <c r="K11" s="44"/>
    </row>
    <row r="12" spans="1:33" s="8" customFormat="1" ht="13.15" hidden="1" customHeight="1" outlineLevel="1" x14ac:dyDescent="0.2"/>
    <row r="13" spans="1:33" s="21" customFormat="1" hidden="1" outlineLevel="1" x14ac:dyDescent="0.2">
      <c r="A13" s="21" t="s">
        <v>403</v>
      </c>
    </row>
    <row r="14" spans="1:33" collapsed="1" x14ac:dyDescent="0.2"/>
    <row r="15" spans="1:33" s="7" customFormat="1" ht="13.15" customHeight="1" x14ac:dyDescent="0.2">
      <c r="A15" s="20" t="s">
        <v>402</v>
      </c>
    </row>
    <row r="16" spans="1:33" s="38" customFormat="1" x14ac:dyDescent="0.2">
      <c r="A16" s="37" t="s">
        <v>404</v>
      </c>
      <c r="B16" s="38">
        <f ca="1">INDEX(CashIntraTable[Amount],MATCH($A$3&amp;B$5&amp;$A52,CashIntraTable[RefRng],0))</f>
        <v>2344200</v>
      </c>
      <c r="C16" s="38">
        <f ca="1">INDEX(CashIntraTable[Amount],MATCH($A$3&amp;C$5&amp;$A52,CashIntraTable[RefRng],0))</f>
        <v>2117000</v>
      </c>
      <c r="D16" s="38" t="e">
        <f ca="1">INDEX(CashIntraTable[Amount],MATCH($A$3&amp;D$5&amp;$A52,CashIntraTable[RefRng],0))</f>
        <v>#N/A</v>
      </c>
      <c r="E16" s="38" t="e">
        <f ca="1">INDEX(CashIntraTable[Amount],MATCH($A$3&amp;E$5&amp;$A52,CashIntraTable[RefRng],0))</f>
        <v>#N/A</v>
      </c>
      <c r="F16" s="38" t="e">
        <f ca="1">INDEX(CashIntraTable[Amount],MATCH($A$3&amp;F$5&amp;$A52,CashIntraTable[RefRng],0))</f>
        <v>#N/A</v>
      </c>
      <c r="G16" s="38" t="e">
        <f ca="1">INDEX(CashIntraTable[Amount],MATCH($A$3&amp;G$5&amp;$A52,CashIntraTable[RefRng],0))</f>
        <v>#N/A</v>
      </c>
      <c r="H16" s="38" t="e">
        <f ca="1">INDEX(CashIntraTable[Amount],MATCH($A$3&amp;H$5&amp;$A52,CashIntraTable[RefRng],0))</f>
        <v>#N/A</v>
      </c>
      <c r="I16" s="38" t="e">
        <f ca="1">INDEX(CashIntraTable[Amount],MATCH($A$3&amp;I$5&amp;$A52,CashIntraTable[RefRng],0))</f>
        <v>#N/A</v>
      </c>
      <c r="J16" s="38" t="e">
        <f ca="1">INDEX(CashIntraTable[Amount],MATCH($A$3&amp;J$5&amp;$A52,CashIntraTable[RefRng],0))</f>
        <v>#N/A</v>
      </c>
      <c r="K16" s="38" t="e">
        <f ca="1">INDEX(CashIntraTable[Amount],MATCH($A$3&amp;K$5&amp;$A52,CashIntraTable[RefRng],0))</f>
        <v>#N/A</v>
      </c>
      <c r="L16" s="38" t="e">
        <f ca="1">INDEX(CashIntraTable[Amount],MATCH($A$3&amp;L$5&amp;$A52,CashIntraTable[RefRng],0))</f>
        <v>#N/A</v>
      </c>
    </row>
    <row r="17" spans="1:12" s="38" customFormat="1" x14ac:dyDescent="0.2">
      <c r="A17" s="37" t="s">
        <v>406</v>
      </c>
      <c r="B17" s="38">
        <f ca="1">INDEX(CashIntraTable[Amount],MATCH($A$3&amp;B$5&amp;$A53,CashIntraTable[RefRng],0))</f>
        <v>3660000</v>
      </c>
      <c r="C17" s="38">
        <f ca="1">INDEX(CashIntraTable[Amount],MATCH($A$3&amp;C$5&amp;$A53,CashIntraTable[RefRng],0))</f>
        <v>2615500</v>
      </c>
      <c r="D17" s="38" t="e">
        <f ca="1">INDEX(CashIntraTable[Amount],MATCH($A$3&amp;D$5&amp;$A53,CashIntraTable[RefRng],0))</f>
        <v>#N/A</v>
      </c>
      <c r="E17" s="38" t="e">
        <f ca="1">INDEX(CashIntraTable[Amount],MATCH($A$3&amp;E$5&amp;$A53,CashIntraTable[RefRng],0))</f>
        <v>#N/A</v>
      </c>
      <c r="F17" s="38" t="e">
        <f ca="1">INDEX(CashIntraTable[Amount],MATCH($A$3&amp;F$5&amp;$A53,CashIntraTable[RefRng],0))</f>
        <v>#N/A</v>
      </c>
      <c r="G17" s="38" t="e">
        <f ca="1">INDEX(CashIntraTable[Amount],MATCH($A$3&amp;G$5&amp;$A53,CashIntraTable[RefRng],0))</f>
        <v>#N/A</v>
      </c>
      <c r="H17" s="38" t="e">
        <f ca="1">INDEX(CashIntraTable[Amount],MATCH($A$3&amp;H$5&amp;$A53,CashIntraTable[RefRng],0))</f>
        <v>#N/A</v>
      </c>
      <c r="I17" s="38" t="e">
        <f ca="1">INDEX(CashIntraTable[Amount],MATCH($A$3&amp;I$5&amp;$A53,CashIntraTable[RefRng],0))</f>
        <v>#N/A</v>
      </c>
      <c r="J17" s="38" t="e">
        <f ca="1">INDEX(CashIntraTable[Amount],MATCH($A$3&amp;J$5&amp;$A53,CashIntraTable[RefRng],0))</f>
        <v>#N/A</v>
      </c>
      <c r="K17" s="38" t="e">
        <f ca="1">INDEX(CashIntraTable[Amount],MATCH($A$3&amp;K$5&amp;$A53,CashIntraTable[RefRng],0))</f>
        <v>#N/A</v>
      </c>
      <c r="L17" s="38" t="e">
        <f ca="1">INDEX(CashIntraTable[Amount],MATCH($A$3&amp;L$5&amp;$A53,CashIntraTable[RefRng],0))</f>
        <v>#N/A</v>
      </c>
    </row>
    <row r="18" spans="1:12" s="38" customFormat="1" x14ac:dyDescent="0.2">
      <c r="A18" s="37" t="s">
        <v>405</v>
      </c>
      <c r="B18" s="38">
        <f ca="1">INDEX(CashIntraTable[Amount],MATCH($A$3&amp;B$5&amp;$A54,CashIntraTable[RefRng],0))</f>
        <v>3572816.21</v>
      </c>
      <c r="C18" s="38">
        <f ca="1">INDEX(CashIntraTable[Amount],MATCH($A$3&amp;C$5&amp;$A54,CashIntraTable[RefRng],0))</f>
        <v>13926669.27</v>
      </c>
      <c r="D18" s="38">
        <f ca="1">INDEX(CashIntraTable[Amount],MATCH($A$3&amp;D$5&amp;$A54,CashIntraTable[RefRng],0))</f>
        <v>1536355.64</v>
      </c>
      <c r="E18" s="38">
        <f ca="1">INDEX(CashIntraTable[Amount],MATCH($A$3&amp;E$5&amp;$A54,CashIntraTable[RefRng],0))</f>
        <v>193629.23</v>
      </c>
      <c r="F18" s="38" t="e">
        <f ca="1">INDEX(CashIntraTable[Amount],MATCH($A$3&amp;F$5&amp;$A54,CashIntraTable[RefRng],0))</f>
        <v>#N/A</v>
      </c>
      <c r="G18" s="38">
        <f ca="1">INDEX(CashIntraTable[Amount],MATCH($A$3&amp;G$5&amp;$A54,CashIntraTable[RefRng],0))</f>
        <v>201603.85</v>
      </c>
      <c r="H18" s="38" t="e">
        <f ca="1">INDEX(CashIntraTable[Amount],MATCH($A$3&amp;H$5&amp;$A54,CashIntraTable[RefRng],0))</f>
        <v>#N/A</v>
      </c>
      <c r="I18" s="38" t="e">
        <f ca="1">INDEX(CashIntraTable[Amount],MATCH($A$3&amp;I$5&amp;$A54,CashIntraTable[RefRng],0))</f>
        <v>#N/A</v>
      </c>
      <c r="J18" s="38" t="e">
        <f ca="1">INDEX(CashIntraTable[Amount],MATCH($A$3&amp;J$5&amp;$A54,CashIntraTable[RefRng],0))</f>
        <v>#N/A</v>
      </c>
      <c r="K18" s="38" t="e">
        <f ca="1">INDEX(CashIntraTable[Amount],MATCH($A$3&amp;K$5&amp;$A54,CashIntraTable[RefRng],0))</f>
        <v>#N/A</v>
      </c>
      <c r="L18" s="38" t="e">
        <f ca="1">INDEX(CashIntraTable[Amount],MATCH($A$3&amp;L$5&amp;$A54,CashIntraTable[RefRng],0))</f>
        <v>#N/A</v>
      </c>
    </row>
    <row r="19" spans="1:12" s="46" customFormat="1" x14ac:dyDescent="0.2">
      <c r="A19" s="45" t="s">
        <v>407</v>
      </c>
      <c r="B19" s="46">
        <v>0</v>
      </c>
      <c r="C19" s="46">
        <v>0</v>
      </c>
      <c r="D19" s="46">
        <v>0</v>
      </c>
      <c r="E19" s="46">
        <v>0</v>
      </c>
      <c r="F19" s="46">
        <v>0</v>
      </c>
      <c r="G19" s="46">
        <v>0</v>
      </c>
      <c r="H19" s="46">
        <v>0</v>
      </c>
      <c r="I19" s="46">
        <v>0</v>
      </c>
      <c r="J19" s="46">
        <v>0</v>
      </c>
      <c r="K19" s="46">
        <v>0</v>
      </c>
      <c r="L19" s="46">
        <v>0</v>
      </c>
    </row>
    <row r="20" spans="1:12" s="40" customFormat="1" x14ac:dyDescent="0.2">
      <c r="A20" s="39" t="s">
        <v>408</v>
      </c>
    </row>
    <row r="21" spans="1:12" s="40" customFormat="1" x14ac:dyDescent="0.2">
      <c r="A21" s="39" t="s">
        <v>409</v>
      </c>
    </row>
    <row r="22" spans="1:12" s="8" customFormat="1" x14ac:dyDescent="0.2">
      <c r="A22" s="22" t="s">
        <v>410</v>
      </c>
      <c r="B22" s="8">
        <f>IF(B$10&lt;0,-B$10,0)</f>
        <v>500000</v>
      </c>
      <c r="C22" s="8">
        <f t="shared" ref="C22:J22" si="2">IF(C$10&lt;0,-C$10,0)</f>
        <v>0</v>
      </c>
      <c r="D22" s="8">
        <f t="shared" si="2"/>
        <v>0</v>
      </c>
      <c r="E22" s="8">
        <f t="shared" si="2"/>
        <v>0</v>
      </c>
      <c r="F22" s="8">
        <f t="shared" si="2"/>
        <v>0</v>
      </c>
      <c r="G22" s="8">
        <f t="shared" si="2"/>
        <v>0</v>
      </c>
      <c r="H22" s="8">
        <f t="shared" si="2"/>
        <v>0</v>
      </c>
      <c r="I22" s="8">
        <f t="shared" si="2"/>
        <v>0</v>
      </c>
      <c r="J22" s="8">
        <f t="shared" si="2"/>
        <v>0</v>
      </c>
    </row>
    <row r="23" spans="1:12" s="46" customFormat="1" x14ac:dyDescent="0.2">
      <c r="A23" s="45" t="s">
        <v>411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</row>
    <row r="24" spans="1:12" s="36" customFormat="1" x14ac:dyDescent="0.2">
      <c r="A24" s="35" t="s">
        <v>412</v>
      </c>
      <c r="B24" s="36">
        <f ca="1">INDEX(CashProjTable[DebtInterest],MATCH($A$3&amp;B$5,CashProjTable[RefRng],0))</f>
        <v>0</v>
      </c>
      <c r="C24" s="36">
        <f ca="1">INDEX(CashProjTable[DebtInterest],MATCH($A$3&amp;C$5,CashProjTable[RefRng],0))</f>
        <v>0</v>
      </c>
      <c r="D24" s="36">
        <f ca="1">INDEX(CashProjTable[DebtInterest],MATCH($A$3&amp;D$5,CashProjTable[RefRng],0))</f>
        <v>137174.79</v>
      </c>
      <c r="E24" s="36">
        <f ca="1">INDEX(CashProjTable[DebtInterest],MATCH($A$3&amp;E$5,CashProjTable[RefRng],0))</f>
        <v>3086432.88</v>
      </c>
      <c r="F24" s="36">
        <f ca="1">INDEX(CashProjTable[DebtInterest],MATCH($A$3&amp;F$5,CashProjTable[RefRng],0))</f>
        <v>0</v>
      </c>
      <c r="G24" s="36">
        <f ca="1">INDEX(CashProjTable[DebtInterest],MATCH($A$3&amp;G$5,CashProjTable[RefRng],0))</f>
        <v>2158031.31</v>
      </c>
      <c r="H24" s="36">
        <f ca="1">INDEX(CashProjTable[DebtInterest],MATCH($A$3&amp;H$5,CashProjTable[RefRng],0))</f>
        <v>0</v>
      </c>
      <c r="I24" s="36">
        <f ca="1">INDEX(CashProjTable[DebtInterest],MATCH($A$3&amp;I$5,CashProjTable[RefRng],0))</f>
        <v>150410.96</v>
      </c>
      <c r="J24" s="36">
        <f ca="1">INDEX(CashProjTable[DebtInterest],MATCH($A$3&amp;J$5,CashProjTable[RefRng],0))</f>
        <v>0</v>
      </c>
      <c r="K24" s="36" t="e">
        <f ca="1">INDEX(CashProjTable[DebtInterest],MATCH($A$3&amp;K$5,CashProjTable[RefRng],0))</f>
        <v>#N/A</v>
      </c>
      <c r="L24" s="36" t="e">
        <f ca="1">INDEX(CashProjTable[DebtInterest],MATCH($A$3&amp;L$5,CashProjTable[RefRng],0))</f>
        <v>#N/A</v>
      </c>
    </row>
    <row r="25" spans="1:12" s="36" customFormat="1" x14ac:dyDescent="0.2">
      <c r="A25" s="35" t="s">
        <v>413</v>
      </c>
    </row>
    <row r="26" spans="1:12" s="18" customFormat="1" x14ac:dyDescent="0.2">
      <c r="A26" s="23" t="s">
        <v>414</v>
      </c>
    </row>
    <row r="27" spans="1:12" s="17" customFormat="1" ht="15" thickBot="1" x14ac:dyDescent="0.25">
      <c r="A27" s="16" t="s">
        <v>415</v>
      </c>
    </row>
    <row r="28" spans="1:12" s="8" customFormat="1" x14ac:dyDescent="0.2"/>
    <row r="29" spans="1:12" s="7" customFormat="1" x14ac:dyDescent="0.2">
      <c r="A29" s="14" t="s">
        <v>416</v>
      </c>
    </row>
    <row r="30" spans="1:12" s="38" customFormat="1" x14ac:dyDescent="0.2">
      <c r="A30" s="37" t="s">
        <v>417</v>
      </c>
      <c r="B30" s="38">
        <f ca="1">INDEX(CashIntraTable[Amount],MATCH($A$3&amp;B$5&amp;$A55,CashIntraTable[RefRng],0))</f>
        <v>-4604637.79</v>
      </c>
      <c r="C30" s="38">
        <f ca="1">INDEX(CashIntraTable[Amount],MATCH($A$3&amp;C$5&amp;$A55,CashIntraTable[RefRng],0))</f>
        <v>-5391707.8700000001</v>
      </c>
      <c r="D30" s="38" t="e">
        <f ca="1">INDEX(CashIntraTable[Amount],MATCH($A$3&amp;D$5&amp;$A55,CashIntraTable[RefRng],0))</f>
        <v>#N/A</v>
      </c>
      <c r="E30" s="38" t="e">
        <f ca="1">INDEX(CashIntraTable[Amount],MATCH($A$3&amp;E$5&amp;$A55,CashIntraTable[RefRng],0))</f>
        <v>#N/A</v>
      </c>
      <c r="F30" s="38" t="e">
        <f ca="1">INDEX(CashIntraTable[Amount],MATCH($A$3&amp;F$5&amp;$A55,CashIntraTable[RefRng],0))</f>
        <v>#N/A</v>
      </c>
      <c r="G30" s="38" t="e">
        <f ca="1">INDEX(CashIntraTable[Amount],MATCH($A$3&amp;G$5&amp;$A55,CashIntraTable[RefRng],0))</f>
        <v>#N/A</v>
      </c>
      <c r="H30" s="38" t="e">
        <f ca="1">INDEX(CashIntraTable[Amount],MATCH($A$3&amp;H$5&amp;$A55,CashIntraTable[RefRng],0))</f>
        <v>#N/A</v>
      </c>
      <c r="I30" s="38" t="e">
        <f ca="1">INDEX(CashIntraTable[Amount],MATCH($A$3&amp;I$5&amp;$A55,CashIntraTable[RefRng],0))</f>
        <v>#N/A</v>
      </c>
      <c r="J30" s="38" t="e">
        <f ca="1">INDEX(CashIntraTable[Amount],MATCH($A$3&amp;J$5&amp;$A55,CashIntraTable[RefRng],0))</f>
        <v>#N/A</v>
      </c>
      <c r="K30" s="38" t="e">
        <f ca="1">INDEX(CashIntraTable[Amount],MATCH($A$3&amp;K$5&amp;$A55,CashIntraTable[RefRng],0))</f>
        <v>#N/A</v>
      </c>
      <c r="L30" s="38" t="e">
        <f ca="1">INDEX(CashIntraTable[Amount],MATCH($A$3&amp;L$5&amp;$A55,CashIntraTable[RefRng],0))</f>
        <v>#N/A</v>
      </c>
    </row>
    <row r="31" spans="1:12" s="38" customFormat="1" x14ac:dyDescent="0.2">
      <c r="A31" s="37" t="s">
        <v>418</v>
      </c>
      <c r="B31" s="38">
        <f ca="1">INDEX(CashIntraTable[Amount],MATCH($A$3&amp;B$5&amp;$A56,CashIntraTable[RefRng],0))</f>
        <v>-21933959.41</v>
      </c>
      <c r="C31" s="38">
        <f ca="1">INDEX(CashIntraTable[Amount],MATCH($A$3&amp;C$5&amp;$A56,CashIntraTable[RefRng],0))</f>
        <v>-17719807.190000001</v>
      </c>
      <c r="D31" s="38" t="e">
        <f ca="1">INDEX(CashIntraTable[Amount],MATCH($A$3&amp;D$5&amp;$A56,CashIntraTable[RefRng],0))</f>
        <v>#N/A</v>
      </c>
      <c r="E31" s="38" t="e">
        <f ca="1">INDEX(CashIntraTable[Amount],MATCH($A$3&amp;E$5&amp;$A56,CashIntraTable[RefRng],0))</f>
        <v>#N/A</v>
      </c>
      <c r="F31" s="38" t="e">
        <f ca="1">INDEX(CashIntraTable[Amount],MATCH($A$3&amp;F$5&amp;$A56,CashIntraTable[RefRng],0))</f>
        <v>#N/A</v>
      </c>
      <c r="G31" s="38" t="e">
        <f ca="1">INDEX(CashIntraTable[Amount],MATCH($A$3&amp;G$5&amp;$A56,CashIntraTable[RefRng],0))</f>
        <v>#N/A</v>
      </c>
      <c r="H31" s="38" t="e">
        <f ca="1">INDEX(CashIntraTable[Amount],MATCH($A$3&amp;H$5&amp;$A56,CashIntraTable[RefRng],0))</f>
        <v>#N/A</v>
      </c>
      <c r="I31" s="38" t="e">
        <f ca="1">INDEX(CashIntraTable[Amount],MATCH($A$3&amp;I$5&amp;$A56,CashIntraTable[RefRng],0))</f>
        <v>#N/A</v>
      </c>
      <c r="J31" s="38" t="e">
        <f ca="1">INDEX(CashIntraTable[Amount],MATCH($A$3&amp;J$5&amp;$A56,CashIntraTable[RefRng],0))</f>
        <v>#N/A</v>
      </c>
      <c r="K31" s="38" t="e">
        <f ca="1">INDEX(CashIntraTable[Amount],MATCH($A$3&amp;K$5&amp;$A56,CashIntraTable[RefRng],0))</f>
        <v>#N/A</v>
      </c>
      <c r="L31" s="38" t="e">
        <f ca="1">INDEX(CashIntraTable[Amount],MATCH($A$3&amp;L$5&amp;$A56,CashIntraTable[RefRng],0))</f>
        <v>#N/A</v>
      </c>
    </row>
    <row r="32" spans="1:12" s="8" customFormat="1" x14ac:dyDescent="0.2">
      <c r="A32" s="22" t="s">
        <v>419</v>
      </c>
    </row>
    <row r="33" spans="1:33" s="8" customFormat="1" x14ac:dyDescent="0.2">
      <c r="A33" s="22" t="s">
        <v>420</v>
      </c>
    </row>
    <row r="34" spans="1:33" s="8" customFormat="1" x14ac:dyDescent="0.2">
      <c r="A34" s="22" t="s">
        <v>410</v>
      </c>
    </row>
    <row r="35" spans="1:33" s="8" customFormat="1" x14ac:dyDescent="0.2">
      <c r="A35" s="22" t="s">
        <v>411</v>
      </c>
    </row>
    <row r="36" spans="1:33" s="8" customFormat="1" x14ac:dyDescent="0.2">
      <c r="A36" s="22" t="s">
        <v>421</v>
      </c>
    </row>
    <row r="37" spans="1:33" s="18" customFormat="1" x14ac:dyDescent="0.2">
      <c r="A37" s="23" t="s">
        <v>414</v>
      </c>
    </row>
    <row r="38" spans="1:33" s="17" customFormat="1" ht="15" thickBot="1" x14ac:dyDescent="0.25">
      <c r="A38" s="16" t="s">
        <v>422</v>
      </c>
    </row>
    <row r="39" spans="1:33" s="8" customFormat="1" x14ac:dyDescent="0.2"/>
    <row r="40" spans="1:33" s="7" customFormat="1" x14ac:dyDescent="0.2">
      <c r="A40" s="14" t="s">
        <v>423</v>
      </c>
    </row>
    <row r="41" spans="1:33" s="8" customFormat="1" x14ac:dyDescent="0.2">
      <c r="A41" s="22" t="s">
        <v>424</v>
      </c>
    </row>
    <row r="42" spans="1:33" s="8" customFormat="1" x14ac:dyDescent="0.2">
      <c r="A42" s="22" t="s">
        <v>425</v>
      </c>
    </row>
    <row r="43" spans="1:33" s="15" customFormat="1" x14ac:dyDescent="0.2">
      <c r="A43" s="24" t="s">
        <v>426</v>
      </c>
    </row>
    <row r="44" spans="1:33" s="8" customFormat="1" x14ac:dyDescent="0.2">
      <c r="A44" s="22" t="s">
        <v>427</v>
      </c>
    </row>
    <row r="45" spans="1:33" s="8" customFormat="1" x14ac:dyDescent="0.2">
      <c r="A45" s="22" t="s">
        <v>428</v>
      </c>
    </row>
    <row r="46" spans="1:33" s="15" customFormat="1" x14ac:dyDescent="0.2">
      <c r="A46" s="24" t="s">
        <v>426</v>
      </c>
    </row>
    <row r="47" spans="1:33" s="13" customFormat="1" x14ac:dyDescent="0.2">
      <c r="A47" s="12" t="s">
        <v>429</v>
      </c>
    </row>
    <row r="48" spans="1:33" s="27" customFormat="1" x14ac:dyDescent="0.2">
      <c r="A48" s="25" t="s">
        <v>430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1" s="19" customFormat="1" x14ac:dyDescent="0.2">
      <c r="A49" s="19" t="s">
        <v>431</v>
      </c>
    </row>
    <row r="50" spans="1:1" s="19" customFormat="1" x14ac:dyDescent="0.2">
      <c r="A50" s="19" t="s">
        <v>432</v>
      </c>
    </row>
    <row r="52" spans="1:1" x14ac:dyDescent="0.2">
      <c r="A52" t="s">
        <v>377</v>
      </c>
    </row>
    <row r="53" spans="1:1" x14ac:dyDescent="0.2">
      <c r="A53" t="s">
        <v>381</v>
      </c>
    </row>
    <row r="54" spans="1:1" x14ac:dyDescent="0.2">
      <c r="A54" t="s">
        <v>378</v>
      </c>
    </row>
    <row r="55" spans="1:1" x14ac:dyDescent="0.2">
      <c r="A55" t="s">
        <v>379</v>
      </c>
    </row>
    <row r="56" spans="1:1" x14ac:dyDescent="0.2">
      <c r="A56" t="s">
        <v>380</v>
      </c>
    </row>
  </sheetData>
  <conditionalFormatting sqref="A5:XFD5">
    <cfRule type="cellIs" dxfId="6" priority="7" operator="equal">
      <formula>TODAY()</formula>
    </cfRule>
  </conditionalFormatting>
  <conditionalFormatting sqref="B9">
    <cfRule type="cellIs" dxfId="5" priority="6" operator="greaterThan">
      <formula>"&lt;0"</formula>
    </cfRule>
  </conditionalFormatting>
  <conditionalFormatting sqref="B10">
    <cfRule type="cellIs" dxfId="4" priority="5" operator="greaterThan">
      <formula>"&lt;0"</formula>
    </cfRule>
  </conditionalFormatting>
  <conditionalFormatting sqref="B11">
    <cfRule type="cellIs" dxfId="3" priority="4" operator="greaterThan">
      <formula>"&lt;0"</formula>
    </cfRule>
  </conditionalFormatting>
  <conditionalFormatting sqref="C9:K9">
    <cfRule type="cellIs" dxfId="2" priority="3" operator="greaterThan">
      <formula>"&lt;0"</formula>
    </cfRule>
  </conditionalFormatting>
  <conditionalFormatting sqref="C10:K10">
    <cfRule type="cellIs" dxfId="1" priority="2" operator="greaterThan">
      <formula>"&lt;0"</formula>
    </cfRule>
  </conditionalFormatting>
  <conditionalFormatting sqref="C11:K11">
    <cfRule type="cellIs" dxfId="0" priority="1" operator="greaterThan">
      <formula>"&lt;0"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5CDB-3522-4889-945A-9DD361E7AE06}">
  <sheetPr codeName="Sheet8"/>
  <dimension ref="A1"/>
  <sheetViews>
    <sheetView topLeftCell="A4" workbookViewId="0">
      <selection activeCell="J30" sqref="J30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Cash Intraday</vt:lpstr>
      <vt:lpstr>DDE</vt:lpstr>
      <vt:lpstr>Data</vt:lpstr>
      <vt:lpstr>Cash Projection</vt:lpstr>
      <vt:lpstr>SCBRM1</vt:lpstr>
      <vt:lpstr>SCBSFF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2018-10-05T09:02:29Z</dcterms:created>
  <dcterms:modified xsi:type="dcterms:W3CDTF">2018-10-09T11:31:39Z</dcterms:modified>
</cp:coreProperties>
</file>